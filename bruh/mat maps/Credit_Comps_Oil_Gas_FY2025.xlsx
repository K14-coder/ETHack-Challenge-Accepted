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khezanirani/Downloads/"/>
    </mc:Choice>
  </mc:AlternateContent>
  <xr:revisionPtr revIDLastSave="0" documentId="8_{03C865B4-AA4B-0041-A5D0-DB7F32B0F665}" xr6:coauthVersionLast="47" xr6:coauthVersionMax="47" xr10:uidLastSave="{00000000-0000-0000-0000-000000000000}"/>
  <bookViews>
    <workbookView xWindow="0" yWindow="660" windowWidth="34560" windowHeight="21680" tabRatio="500" xr2:uid="{00000000-000D-0000-FFFF-FFFF00000000}"/>
  </bookViews>
  <sheets>
    <sheet name="Legende" sheetId="1" r:id="rId1"/>
    <sheet name="Input_Finanzen" sheetId="2" r:id="rId2"/>
    <sheet name="Input_Adjustments" sheetId="3" r:id="rId3"/>
    <sheet name="Input_Ratings" sheetId="4" r:id="rId4"/>
    <sheet name="Agentur_Bruecke" sheetId="5" r:id="rId5"/>
    <sheet name="Kennzahle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32" i="6" l="1"/>
  <c r="V31" i="6"/>
  <c r="V30" i="6"/>
  <c r="Q25" i="6"/>
  <c r="P25" i="6"/>
  <c r="O25" i="6"/>
  <c r="M25" i="6"/>
  <c r="K25" i="6"/>
  <c r="J25" i="6"/>
  <c r="F25" i="6"/>
  <c r="B25" i="6"/>
  <c r="Q24" i="6"/>
  <c r="P24" i="6"/>
  <c r="O24" i="6"/>
  <c r="M24" i="6"/>
  <c r="K24" i="6"/>
  <c r="J24" i="6"/>
  <c r="F24" i="6"/>
  <c r="B24" i="6"/>
  <c r="Q23" i="6"/>
  <c r="P23" i="6"/>
  <c r="O23" i="6"/>
  <c r="M23" i="6"/>
  <c r="M32" i="6" s="1"/>
  <c r="K23" i="6"/>
  <c r="K32" i="6" s="1"/>
  <c r="J23" i="6"/>
  <c r="J32" i="6" s="1"/>
  <c r="F23" i="6"/>
  <c r="F32" i="6" s="1"/>
  <c r="B23" i="6"/>
  <c r="Q22" i="6"/>
  <c r="P22" i="6"/>
  <c r="O22" i="6"/>
  <c r="M22" i="6"/>
  <c r="K22" i="6"/>
  <c r="J22" i="6"/>
  <c r="F22" i="6"/>
  <c r="B22" i="6"/>
  <c r="Q21" i="6"/>
  <c r="P21" i="6"/>
  <c r="O21" i="6"/>
  <c r="M21" i="6"/>
  <c r="K21" i="6"/>
  <c r="J21" i="6"/>
  <c r="F21" i="6"/>
  <c r="B21" i="6"/>
  <c r="Q20" i="6"/>
  <c r="P20" i="6"/>
  <c r="O20" i="6"/>
  <c r="M20" i="6"/>
  <c r="M31" i="6" s="1"/>
  <c r="K20" i="6"/>
  <c r="K31" i="6" s="1"/>
  <c r="J20" i="6"/>
  <c r="J31" i="6" s="1"/>
  <c r="F20" i="6"/>
  <c r="F31" i="6" s="1"/>
  <c r="B20" i="6"/>
  <c r="Q19" i="6"/>
  <c r="P19" i="6"/>
  <c r="O19" i="6"/>
  <c r="M19" i="6"/>
  <c r="K19" i="6"/>
  <c r="J19" i="6"/>
  <c r="F19" i="6"/>
  <c r="B19" i="6"/>
  <c r="Q18" i="6"/>
  <c r="P18" i="6"/>
  <c r="O18" i="6"/>
  <c r="M18" i="6"/>
  <c r="K18" i="6"/>
  <c r="J18" i="6"/>
  <c r="F18" i="6"/>
  <c r="B18" i="6"/>
  <c r="Q17" i="6"/>
  <c r="P17" i="6"/>
  <c r="O17" i="6"/>
  <c r="M17" i="6"/>
  <c r="K17" i="6"/>
  <c r="J17" i="6"/>
  <c r="F17" i="6"/>
  <c r="B17" i="6"/>
  <c r="Q16" i="6"/>
  <c r="P16" i="6"/>
  <c r="O16" i="6"/>
  <c r="M16" i="6"/>
  <c r="M30" i="6" s="1"/>
  <c r="K16" i="6"/>
  <c r="K30" i="6" s="1"/>
  <c r="J16" i="6"/>
  <c r="J30" i="6" s="1"/>
  <c r="F16" i="6"/>
  <c r="F30" i="6" s="1"/>
  <c r="B16" i="6"/>
  <c r="V15" i="6"/>
  <c r="Q15" i="6"/>
  <c r="P15" i="6"/>
  <c r="O15" i="6"/>
  <c r="M15" i="6"/>
  <c r="K15" i="6"/>
  <c r="J15" i="6"/>
  <c r="F15" i="6"/>
  <c r="B15" i="6"/>
  <c r="V14" i="6"/>
  <c r="Q14" i="6"/>
  <c r="P14" i="6"/>
  <c r="O14" i="6"/>
  <c r="N14" i="6"/>
  <c r="M14" i="6"/>
  <c r="K14" i="6"/>
  <c r="J14" i="6"/>
  <c r="F14" i="6"/>
  <c r="B14" i="6"/>
  <c r="V13" i="6"/>
  <c r="Q13" i="6"/>
  <c r="P13" i="6"/>
  <c r="O13" i="6"/>
  <c r="M13" i="6"/>
  <c r="K13" i="6"/>
  <c r="J13" i="6"/>
  <c r="F13" i="6"/>
  <c r="B13" i="6"/>
  <c r="V12" i="6"/>
  <c r="Q12" i="6"/>
  <c r="P12" i="6"/>
  <c r="O12" i="6"/>
  <c r="N12" i="6"/>
  <c r="M12" i="6"/>
  <c r="K12" i="6"/>
  <c r="J12" i="6"/>
  <c r="F12" i="6"/>
  <c r="B12" i="6"/>
  <c r="V11" i="6"/>
  <c r="Q11" i="6"/>
  <c r="P11" i="6"/>
  <c r="O11" i="6"/>
  <c r="N11" i="6"/>
  <c r="M11" i="6"/>
  <c r="L11" i="6"/>
  <c r="K11" i="6"/>
  <c r="J11" i="6"/>
  <c r="F11" i="6"/>
  <c r="D11" i="6"/>
  <c r="B11" i="6"/>
  <c r="V10" i="6"/>
  <c r="Q10" i="6"/>
  <c r="P10" i="6"/>
  <c r="O10" i="6"/>
  <c r="N10" i="6"/>
  <c r="M10" i="6"/>
  <c r="K10" i="6"/>
  <c r="J10" i="6"/>
  <c r="F10" i="6"/>
  <c r="B10" i="6"/>
  <c r="V9" i="6"/>
  <c r="Q9" i="6"/>
  <c r="P9" i="6"/>
  <c r="O9" i="6"/>
  <c r="M9" i="6"/>
  <c r="K9" i="6"/>
  <c r="J9" i="6"/>
  <c r="F9" i="6"/>
  <c r="B9" i="6"/>
  <c r="V8" i="6"/>
  <c r="V29" i="6" s="1"/>
  <c r="Q8" i="6"/>
  <c r="P8" i="6"/>
  <c r="O8" i="6"/>
  <c r="N8" i="6"/>
  <c r="M8" i="6"/>
  <c r="M29" i="6" s="1"/>
  <c r="K8" i="6"/>
  <c r="K29" i="6" s="1"/>
  <c r="J8" i="6"/>
  <c r="F8" i="6"/>
  <c r="D8" i="6"/>
  <c r="B8" i="6"/>
  <c r="V7" i="6"/>
  <c r="Q7" i="6"/>
  <c r="P7" i="6"/>
  <c r="O7" i="6"/>
  <c r="M7" i="6"/>
  <c r="K7" i="6"/>
  <c r="J7" i="6"/>
  <c r="F7" i="6"/>
  <c r="B7" i="6"/>
  <c r="V6" i="6"/>
  <c r="Q6" i="6"/>
  <c r="P6" i="6"/>
  <c r="O6" i="6"/>
  <c r="N6" i="6"/>
  <c r="M6" i="6"/>
  <c r="M28" i="6" s="1"/>
  <c r="K6" i="6"/>
  <c r="K28" i="6" s="1"/>
  <c r="J6" i="6"/>
  <c r="J28" i="6" s="1"/>
  <c r="F6" i="6"/>
  <c r="B6" i="6"/>
  <c r="H33" i="5"/>
  <c r="F33" i="5"/>
  <c r="O32" i="5"/>
  <c r="M32" i="5"/>
  <c r="K32" i="5"/>
  <c r="G32" i="5"/>
  <c r="H31" i="5"/>
  <c r="O30" i="5"/>
  <c r="M30" i="5"/>
  <c r="G30" i="5"/>
  <c r="G29" i="5"/>
  <c r="O28" i="5"/>
  <c r="M28" i="5"/>
  <c r="G28" i="5"/>
  <c r="S26" i="5"/>
  <c r="R26" i="5"/>
  <c r="O26" i="5"/>
  <c r="N26" i="5"/>
  <c r="N33" i="5" s="1"/>
  <c r="M26" i="5"/>
  <c r="L26" i="5"/>
  <c r="K26" i="5"/>
  <c r="H26" i="5"/>
  <c r="G26" i="5"/>
  <c r="G33" i="5" s="1"/>
  <c r="F26" i="5"/>
  <c r="B26" i="5"/>
  <c r="S25" i="5"/>
  <c r="R25" i="5"/>
  <c r="P25" i="5"/>
  <c r="O25" i="5"/>
  <c r="O33" i="5" s="1"/>
  <c r="N25" i="5"/>
  <c r="M25" i="5"/>
  <c r="L25" i="5"/>
  <c r="K25" i="5"/>
  <c r="H25" i="5"/>
  <c r="G25" i="5"/>
  <c r="F25" i="5"/>
  <c r="D25" i="5"/>
  <c r="B25" i="5"/>
  <c r="S24" i="5"/>
  <c r="S33" i="5" s="1"/>
  <c r="R24" i="5"/>
  <c r="R33" i="5" s="1"/>
  <c r="O24" i="5"/>
  <c r="N24" i="5"/>
  <c r="M24" i="5"/>
  <c r="M33" i="5" s="1"/>
  <c r="L24" i="5"/>
  <c r="L33" i="5" s="1"/>
  <c r="K24" i="5"/>
  <c r="K33" i="5" s="1"/>
  <c r="H24" i="5"/>
  <c r="G24" i="5"/>
  <c r="F24" i="5"/>
  <c r="D24" i="5"/>
  <c r="B24" i="5"/>
  <c r="T23" i="5"/>
  <c r="S23" i="5"/>
  <c r="R23" i="5"/>
  <c r="O23" i="5"/>
  <c r="N23" i="5"/>
  <c r="M23" i="5"/>
  <c r="L23" i="5"/>
  <c r="K23" i="5"/>
  <c r="H23" i="5"/>
  <c r="G23" i="5"/>
  <c r="F23" i="5"/>
  <c r="D23" i="5"/>
  <c r="I23" i="5" s="1"/>
  <c r="J23" i="5" s="1"/>
  <c r="B23" i="5"/>
  <c r="S22" i="5"/>
  <c r="R22" i="5"/>
  <c r="O22" i="5"/>
  <c r="N22" i="5"/>
  <c r="M22" i="5"/>
  <c r="L22" i="5"/>
  <c r="K22" i="5"/>
  <c r="H22" i="5"/>
  <c r="G22" i="5"/>
  <c r="F22" i="5"/>
  <c r="D22" i="5"/>
  <c r="B22" i="5"/>
  <c r="S21" i="5"/>
  <c r="S32" i="5" s="1"/>
  <c r="R21" i="5"/>
  <c r="R32" i="5" s="1"/>
  <c r="O21" i="5"/>
  <c r="N21" i="5"/>
  <c r="M21" i="5"/>
  <c r="L21" i="5"/>
  <c r="K21" i="5"/>
  <c r="H21" i="5"/>
  <c r="H32" i="5" s="1"/>
  <c r="G21" i="5"/>
  <c r="F21" i="5"/>
  <c r="F32" i="5" s="1"/>
  <c r="D21" i="5"/>
  <c r="B21" i="5"/>
  <c r="T20" i="5"/>
  <c r="S20" i="5"/>
  <c r="R20" i="5"/>
  <c r="O20" i="5"/>
  <c r="N20" i="5"/>
  <c r="M20" i="5"/>
  <c r="L20" i="5"/>
  <c r="P20" i="5" s="1"/>
  <c r="K20" i="5"/>
  <c r="H20" i="5"/>
  <c r="G20" i="5"/>
  <c r="F20" i="5"/>
  <c r="F31" i="5" s="1"/>
  <c r="D20" i="5"/>
  <c r="B20" i="5"/>
  <c r="T19" i="5"/>
  <c r="S19" i="5"/>
  <c r="R19" i="5"/>
  <c r="P19" i="5"/>
  <c r="O19" i="5"/>
  <c r="N19" i="5"/>
  <c r="M19" i="5"/>
  <c r="L19" i="5"/>
  <c r="K19" i="5"/>
  <c r="H19" i="5"/>
  <c r="G19" i="5"/>
  <c r="G31" i="5" s="1"/>
  <c r="F19" i="5"/>
  <c r="D19" i="5"/>
  <c r="I19" i="5" s="1"/>
  <c r="B19" i="5"/>
  <c r="S18" i="5"/>
  <c r="R18" i="5"/>
  <c r="O18" i="5"/>
  <c r="O31" i="5" s="1"/>
  <c r="N18" i="5"/>
  <c r="N31" i="5" s="1"/>
  <c r="M18" i="5"/>
  <c r="L18" i="5"/>
  <c r="K18" i="5"/>
  <c r="H18" i="5"/>
  <c r="G18" i="5"/>
  <c r="F18" i="5"/>
  <c r="D18" i="5"/>
  <c r="B18" i="5"/>
  <c r="S17" i="5"/>
  <c r="S31" i="5" s="1"/>
  <c r="R17" i="5"/>
  <c r="R31" i="5" s="1"/>
  <c r="O17" i="5"/>
  <c r="N17" i="5"/>
  <c r="M17" i="5"/>
  <c r="M31" i="5" s="1"/>
  <c r="L17" i="5"/>
  <c r="K17" i="5"/>
  <c r="K31" i="5" s="1"/>
  <c r="H17" i="5"/>
  <c r="G17" i="5"/>
  <c r="F17" i="5"/>
  <c r="B17" i="5"/>
  <c r="S16" i="5"/>
  <c r="R16" i="5"/>
  <c r="O16" i="5"/>
  <c r="N16" i="5"/>
  <c r="M16" i="5"/>
  <c r="L16" i="5"/>
  <c r="K16" i="5"/>
  <c r="H16" i="5"/>
  <c r="G16" i="5"/>
  <c r="F16" i="5"/>
  <c r="D16" i="5"/>
  <c r="I16" i="5" s="1"/>
  <c r="J16" i="5" s="1"/>
  <c r="B16" i="5"/>
  <c r="S15" i="5"/>
  <c r="R15" i="5"/>
  <c r="O15" i="5"/>
  <c r="N15" i="5"/>
  <c r="M15" i="5"/>
  <c r="L15" i="5"/>
  <c r="K15" i="5"/>
  <c r="K30" i="5" s="1"/>
  <c r="H15" i="5"/>
  <c r="G15" i="5"/>
  <c r="F15" i="5"/>
  <c r="D15" i="5"/>
  <c r="B15" i="5"/>
  <c r="S14" i="5"/>
  <c r="R14" i="5"/>
  <c r="O14" i="5"/>
  <c r="N14" i="5"/>
  <c r="M14" i="5"/>
  <c r="L14" i="5"/>
  <c r="K14" i="5"/>
  <c r="H14" i="5"/>
  <c r="G14" i="5"/>
  <c r="F14" i="5"/>
  <c r="D14" i="5"/>
  <c r="I14" i="5" s="1"/>
  <c r="J14" i="5" s="1"/>
  <c r="B14" i="5"/>
  <c r="T13" i="5"/>
  <c r="S13" i="5"/>
  <c r="R13" i="5"/>
  <c r="O13" i="5"/>
  <c r="N13" i="5"/>
  <c r="M13" i="5"/>
  <c r="L13" i="5"/>
  <c r="P13" i="5" s="1"/>
  <c r="K13" i="5"/>
  <c r="H13" i="5"/>
  <c r="G13" i="5"/>
  <c r="F13" i="5"/>
  <c r="D13" i="5"/>
  <c r="B13" i="5"/>
  <c r="S12" i="5"/>
  <c r="R12" i="5"/>
  <c r="O12" i="5"/>
  <c r="N12" i="5"/>
  <c r="P12" i="5" s="1"/>
  <c r="Q12" i="5" s="1"/>
  <c r="S11" i="6" s="1"/>
  <c r="M12" i="5"/>
  <c r="L12" i="5"/>
  <c r="K12" i="5"/>
  <c r="H12" i="5"/>
  <c r="G12" i="5"/>
  <c r="F12" i="5"/>
  <c r="D12" i="5"/>
  <c r="I12" i="5" s="1"/>
  <c r="J12" i="5" s="1"/>
  <c r="B12" i="5"/>
  <c r="S11" i="5"/>
  <c r="R11" i="5"/>
  <c r="O11" i="5"/>
  <c r="N11" i="5"/>
  <c r="P11" i="5" s="1"/>
  <c r="M11" i="5"/>
  <c r="L11" i="5"/>
  <c r="K11" i="5"/>
  <c r="H11" i="5"/>
  <c r="G11" i="5"/>
  <c r="F11" i="5"/>
  <c r="D11" i="5"/>
  <c r="B11" i="5"/>
  <c r="S10" i="5"/>
  <c r="S30" i="5" s="1"/>
  <c r="R10" i="5"/>
  <c r="O10" i="5"/>
  <c r="N10" i="5"/>
  <c r="M10" i="5"/>
  <c r="L10" i="5"/>
  <c r="K10" i="5"/>
  <c r="H10" i="5"/>
  <c r="G10" i="5"/>
  <c r="F10" i="5"/>
  <c r="B10" i="5"/>
  <c r="T9" i="5"/>
  <c r="S9" i="5"/>
  <c r="R9" i="5"/>
  <c r="O9" i="5"/>
  <c r="N9" i="5"/>
  <c r="M9" i="5"/>
  <c r="L9" i="5"/>
  <c r="K9" i="5"/>
  <c r="H9" i="5"/>
  <c r="G9" i="5"/>
  <c r="F9" i="5"/>
  <c r="D9" i="5"/>
  <c r="B9" i="5"/>
  <c r="S8" i="5"/>
  <c r="R8" i="5"/>
  <c r="O8" i="5"/>
  <c r="N8" i="5"/>
  <c r="M8" i="5"/>
  <c r="L8" i="5"/>
  <c r="K8" i="5"/>
  <c r="K28" i="5" s="1"/>
  <c r="H8" i="5"/>
  <c r="G8" i="5"/>
  <c r="F8" i="5"/>
  <c r="F29" i="5" s="1"/>
  <c r="B8" i="5"/>
  <c r="S7" i="5"/>
  <c r="S29" i="5" s="1"/>
  <c r="R7" i="5"/>
  <c r="O7" i="5"/>
  <c r="O29" i="5" s="1"/>
  <c r="N7" i="5"/>
  <c r="M7" i="5"/>
  <c r="M29" i="5" s="1"/>
  <c r="L7" i="5"/>
  <c r="K7" i="5"/>
  <c r="K29" i="5" s="1"/>
  <c r="H7" i="5"/>
  <c r="G7" i="5"/>
  <c r="F7" i="5"/>
  <c r="B7" i="5"/>
  <c r="L25" i="3"/>
  <c r="E26" i="5" s="1"/>
  <c r="L22" i="3"/>
  <c r="E23" i="5" s="1"/>
  <c r="L21" i="3"/>
  <c r="E22" i="5" s="1"/>
  <c r="L17" i="3"/>
  <c r="E18" i="5" s="1"/>
  <c r="L15" i="3"/>
  <c r="E16" i="5" s="1"/>
  <c r="L14" i="3"/>
  <c r="E15" i="5" s="1"/>
  <c r="L13" i="3"/>
  <c r="E14" i="5" s="1"/>
  <c r="L11" i="3"/>
  <c r="E12" i="5" s="1"/>
  <c r="L8" i="3"/>
  <c r="E9" i="5" s="1"/>
  <c r="L7" i="3"/>
  <c r="E8" i="5" s="1"/>
  <c r="P25" i="2"/>
  <c r="L25" i="6" s="1"/>
  <c r="L25" i="2"/>
  <c r="E25" i="6" s="1"/>
  <c r="I25" i="2"/>
  <c r="G25" i="2"/>
  <c r="D26" i="5" s="1"/>
  <c r="I26" i="5" s="1"/>
  <c r="J26" i="5" s="1"/>
  <c r="P24" i="2"/>
  <c r="L24" i="2"/>
  <c r="I24" i="2"/>
  <c r="G24" i="2"/>
  <c r="U24" i="6" s="1"/>
  <c r="P23" i="2"/>
  <c r="L23" i="2"/>
  <c r="E23" i="6" s="1"/>
  <c r="I23" i="2"/>
  <c r="G23" i="2"/>
  <c r="N23" i="6" s="1"/>
  <c r="P22" i="2"/>
  <c r="L22" i="2"/>
  <c r="E22" i="6" s="1"/>
  <c r="I22" i="2"/>
  <c r="D22" i="6" s="1"/>
  <c r="G22" i="2"/>
  <c r="N22" i="6" s="1"/>
  <c r="P21" i="2"/>
  <c r="L21" i="2"/>
  <c r="E21" i="6" s="1"/>
  <c r="G21" i="2"/>
  <c r="I21" i="2" s="1"/>
  <c r="P20" i="2"/>
  <c r="L20" i="2"/>
  <c r="L20" i="3" s="1"/>
  <c r="E21" i="5" s="1"/>
  <c r="G20" i="2"/>
  <c r="P19" i="2"/>
  <c r="L19" i="2"/>
  <c r="I19" i="2"/>
  <c r="G19" i="2"/>
  <c r="U19" i="6" s="1"/>
  <c r="P18" i="2"/>
  <c r="L18" i="6" s="1"/>
  <c r="L18" i="2"/>
  <c r="E18" i="6" s="1"/>
  <c r="I18" i="2"/>
  <c r="G18" i="2"/>
  <c r="U18" i="6" s="1"/>
  <c r="P17" i="2"/>
  <c r="L17" i="2"/>
  <c r="E17" i="6" s="1"/>
  <c r="I17" i="2"/>
  <c r="G17" i="2"/>
  <c r="N17" i="6" s="1"/>
  <c r="P16" i="2"/>
  <c r="L16" i="2"/>
  <c r="G16" i="2"/>
  <c r="D17" i="5" s="1"/>
  <c r="P15" i="2"/>
  <c r="H15" i="6" s="1"/>
  <c r="L15" i="2"/>
  <c r="E15" i="6" s="1"/>
  <c r="I15" i="2"/>
  <c r="W16" i="5" s="1"/>
  <c r="G15" i="2"/>
  <c r="N15" i="6" s="1"/>
  <c r="P14" i="2"/>
  <c r="L14" i="2"/>
  <c r="E14" i="6" s="1"/>
  <c r="G14" i="2"/>
  <c r="U14" i="6" s="1"/>
  <c r="P13" i="2"/>
  <c r="L13" i="2"/>
  <c r="E13" i="6" s="1"/>
  <c r="G13" i="2"/>
  <c r="U13" i="6" s="1"/>
  <c r="P12" i="2"/>
  <c r="L12" i="2"/>
  <c r="I12" i="2"/>
  <c r="G12" i="2"/>
  <c r="U12" i="6" s="1"/>
  <c r="P11" i="2"/>
  <c r="I11" i="6" s="1"/>
  <c r="L11" i="2"/>
  <c r="E11" i="6" s="1"/>
  <c r="I11" i="2"/>
  <c r="G11" i="2"/>
  <c r="U11" i="6" s="1"/>
  <c r="P10" i="2"/>
  <c r="L10" i="6" s="1"/>
  <c r="L10" i="2"/>
  <c r="E10" i="6" s="1"/>
  <c r="I10" i="2"/>
  <c r="D10" i="6" s="1"/>
  <c r="G10" i="2"/>
  <c r="U10" i="6" s="1"/>
  <c r="P9" i="2"/>
  <c r="L9" i="2"/>
  <c r="E9" i="6" s="1"/>
  <c r="G9" i="2"/>
  <c r="D10" i="5" s="1"/>
  <c r="P8" i="2"/>
  <c r="H8" i="6" s="1"/>
  <c r="L8" i="2"/>
  <c r="E8" i="6" s="1"/>
  <c r="I8" i="2"/>
  <c r="W9" i="5" s="1"/>
  <c r="G8" i="2"/>
  <c r="U8" i="6" s="1"/>
  <c r="P7" i="2"/>
  <c r="L7" i="2"/>
  <c r="E7" i="6" s="1"/>
  <c r="G7" i="2"/>
  <c r="U7" i="6" s="1"/>
  <c r="P6" i="2"/>
  <c r="L6" i="2"/>
  <c r="E6" i="6" s="1"/>
  <c r="G6" i="2"/>
  <c r="U6" i="6" s="1"/>
  <c r="R15" i="6" l="1"/>
  <c r="D31" i="5"/>
  <c r="I17" i="5"/>
  <c r="T17" i="5"/>
  <c r="P17" i="5"/>
  <c r="I10" i="5"/>
  <c r="J10" i="5" s="1"/>
  <c r="P10" i="5"/>
  <c r="Q10" i="5" s="1"/>
  <c r="S9" i="6" s="1"/>
  <c r="T10" i="5"/>
  <c r="Q20" i="5"/>
  <c r="S19" i="6" s="1"/>
  <c r="W22" i="5"/>
  <c r="H21" i="6"/>
  <c r="D21" i="6"/>
  <c r="R25" i="6"/>
  <c r="R22" i="6"/>
  <c r="R11" i="6"/>
  <c r="L9" i="3"/>
  <c r="E10" i="5" s="1"/>
  <c r="V9" i="5"/>
  <c r="U9" i="5"/>
  <c r="R13" i="6"/>
  <c r="I22" i="5"/>
  <c r="J22" i="5" s="1"/>
  <c r="P22" i="5"/>
  <c r="Q22" i="5" s="1"/>
  <c r="S21" i="6" s="1"/>
  <c r="V23" i="5"/>
  <c r="U23" i="5"/>
  <c r="T22" i="6" s="1"/>
  <c r="I12" i="6"/>
  <c r="G12" i="6"/>
  <c r="L10" i="3"/>
  <c r="E11" i="5" s="1"/>
  <c r="Q11" i="5" s="1"/>
  <c r="S10" i="6" s="1"/>
  <c r="H28" i="5"/>
  <c r="I9" i="5"/>
  <c r="D30" i="5"/>
  <c r="I15" i="5"/>
  <c r="J15" i="5" s="1"/>
  <c r="P15" i="5"/>
  <c r="Q15" i="5" s="1"/>
  <c r="S14" i="6" s="1"/>
  <c r="N32" i="6"/>
  <c r="P21" i="5"/>
  <c r="D32" i="5"/>
  <c r="I21" i="5"/>
  <c r="I9" i="2"/>
  <c r="I16" i="2"/>
  <c r="G19" i="6"/>
  <c r="L19" i="6"/>
  <c r="I19" i="6"/>
  <c r="H23" i="6"/>
  <c r="H32" i="6" s="1"/>
  <c r="D23" i="6"/>
  <c r="D32" i="6" s="1"/>
  <c r="W24" i="5"/>
  <c r="W33" i="5" s="1"/>
  <c r="U28" i="6"/>
  <c r="F30" i="5"/>
  <c r="T16" i="5"/>
  <c r="P26" i="5"/>
  <c r="Q26" i="5" s="1"/>
  <c r="S25" i="6" s="1"/>
  <c r="L12" i="6"/>
  <c r="N13" i="6"/>
  <c r="E16" i="6"/>
  <c r="L16" i="3"/>
  <c r="E17" i="5" s="1"/>
  <c r="N20" i="6"/>
  <c r="U20" i="6"/>
  <c r="I6" i="2"/>
  <c r="G9" i="6"/>
  <c r="L9" i="6"/>
  <c r="I9" i="6"/>
  <c r="I13" i="2"/>
  <c r="G16" i="6"/>
  <c r="L16" i="6"/>
  <c r="L30" i="6" s="1"/>
  <c r="I16" i="6"/>
  <c r="I20" i="2"/>
  <c r="L23" i="6"/>
  <c r="I23" i="6"/>
  <c r="G23" i="6"/>
  <c r="L28" i="5"/>
  <c r="L29" i="5"/>
  <c r="D33" i="5"/>
  <c r="T24" i="5"/>
  <c r="I24" i="5"/>
  <c r="H29" i="5"/>
  <c r="E28" i="6"/>
  <c r="E32" i="5"/>
  <c r="H30" i="5"/>
  <c r="P18" i="5"/>
  <c r="Q18" i="5" s="1"/>
  <c r="S17" i="6" s="1"/>
  <c r="N28" i="5"/>
  <c r="L32" i="5"/>
  <c r="I25" i="5"/>
  <c r="T25" i="5"/>
  <c r="T26" i="5"/>
  <c r="N29" i="5"/>
  <c r="V28" i="6"/>
  <c r="V27" i="6"/>
  <c r="U9" i="6"/>
  <c r="U27" i="6" s="1"/>
  <c r="N9" i="6"/>
  <c r="F29" i="6"/>
  <c r="L30" i="5"/>
  <c r="T12" i="5"/>
  <c r="N32" i="5"/>
  <c r="H24" i="6"/>
  <c r="W25" i="5"/>
  <c r="D24" i="6"/>
  <c r="R29" i="5"/>
  <c r="R28" i="5"/>
  <c r="I18" i="5"/>
  <c r="J18" i="5" s="1"/>
  <c r="T18" i="5"/>
  <c r="F28" i="6"/>
  <c r="F27" i="6"/>
  <c r="J29" i="6"/>
  <c r="H11" i="6"/>
  <c r="W12" i="5"/>
  <c r="N30" i="5"/>
  <c r="P14" i="5"/>
  <c r="Q14" i="5" s="1"/>
  <c r="S13" i="6" s="1"/>
  <c r="U16" i="6"/>
  <c r="N16" i="6"/>
  <c r="I7" i="2"/>
  <c r="I10" i="6"/>
  <c r="G10" i="6"/>
  <c r="I14" i="2"/>
  <c r="L17" i="6"/>
  <c r="I17" i="6"/>
  <c r="G17" i="6"/>
  <c r="I24" i="6"/>
  <c r="G24" i="6"/>
  <c r="L24" i="6"/>
  <c r="D25" i="6"/>
  <c r="H25" i="6"/>
  <c r="W26" i="5"/>
  <c r="L12" i="3"/>
  <c r="E13" i="5" s="1"/>
  <c r="Q13" i="5" s="1"/>
  <c r="S12" i="6" s="1"/>
  <c r="E12" i="6"/>
  <c r="E27" i="6" s="1"/>
  <c r="E19" i="6"/>
  <c r="L19" i="3"/>
  <c r="E20" i="5" s="1"/>
  <c r="V20" i="5" s="1"/>
  <c r="I6" i="6"/>
  <c r="G6" i="6"/>
  <c r="W11" i="5"/>
  <c r="H10" i="6"/>
  <c r="L13" i="6"/>
  <c r="I13" i="6"/>
  <c r="G13" i="6"/>
  <c r="W18" i="5"/>
  <c r="H17" i="6"/>
  <c r="D17" i="6"/>
  <c r="L20" i="6"/>
  <c r="L31" i="6" s="1"/>
  <c r="I20" i="6"/>
  <c r="G20" i="6"/>
  <c r="L14" i="6"/>
  <c r="I14" i="6"/>
  <c r="G14" i="6"/>
  <c r="L23" i="3"/>
  <c r="E24" i="5" s="1"/>
  <c r="P9" i="5"/>
  <c r="I13" i="5"/>
  <c r="L31" i="5"/>
  <c r="T21" i="5"/>
  <c r="P23" i="5"/>
  <c r="Q23" i="5" s="1"/>
  <c r="S22" i="6" s="1"/>
  <c r="N29" i="6"/>
  <c r="U21" i="6"/>
  <c r="N21" i="6"/>
  <c r="H18" i="6"/>
  <c r="D18" i="6"/>
  <c r="W19" i="5"/>
  <c r="D7" i="5"/>
  <c r="R30" i="5"/>
  <c r="T14" i="5"/>
  <c r="T22" i="5"/>
  <c r="L6" i="6"/>
  <c r="N7" i="6"/>
  <c r="N27" i="6" s="1"/>
  <c r="L24" i="3"/>
  <c r="E25" i="5" s="1"/>
  <c r="Q25" i="5" s="1"/>
  <c r="S24" i="6" s="1"/>
  <c r="E24" i="6"/>
  <c r="E32" i="6" s="1"/>
  <c r="I11" i="5"/>
  <c r="J11" i="5" s="1"/>
  <c r="T11" i="5"/>
  <c r="L7" i="6"/>
  <c r="I7" i="6"/>
  <c r="G7" i="6"/>
  <c r="I21" i="6"/>
  <c r="G21" i="6"/>
  <c r="L21" i="6"/>
  <c r="L8" i="6"/>
  <c r="I8" i="6"/>
  <c r="G8" i="6"/>
  <c r="D12" i="6"/>
  <c r="W13" i="5"/>
  <c r="H12" i="6"/>
  <c r="L15" i="6"/>
  <c r="I15" i="6"/>
  <c r="G15" i="6"/>
  <c r="D19" i="6"/>
  <c r="W20" i="5"/>
  <c r="H19" i="6"/>
  <c r="L22" i="6"/>
  <c r="I22" i="6"/>
  <c r="G22" i="6"/>
  <c r="F28" i="5"/>
  <c r="D8" i="5"/>
  <c r="T15" i="5"/>
  <c r="P16" i="5"/>
  <c r="Q16" i="5" s="1"/>
  <c r="S15" i="6" s="1"/>
  <c r="I20" i="5"/>
  <c r="J20" i="5" s="1"/>
  <c r="P24" i="5"/>
  <c r="U22" i="6"/>
  <c r="N18" i="6"/>
  <c r="H22" i="6"/>
  <c r="G25" i="6"/>
  <c r="U25" i="6"/>
  <c r="E20" i="6"/>
  <c r="E31" i="6" s="1"/>
  <c r="D15" i="6"/>
  <c r="U17" i="6"/>
  <c r="N24" i="6"/>
  <c r="I25" i="6"/>
  <c r="L18" i="3"/>
  <c r="E19" i="5" s="1"/>
  <c r="J19" i="5" s="1"/>
  <c r="U23" i="6"/>
  <c r="U32" i="6" s="1"/>
  <c r="S28" i="5"/>
  <c r="L6" i="3"/>
  <c r="E7" i="5" s="1"/>
  <c r="W23" i="5"/>
  <c r="U15" i="6"/>
  <c r="N19" i="6"/>
  <c r="G18" i="6"/>
  <c r="N25" i="6"/>
  <c r="J27" i="6"/>
  <c r="K27" i="6"/>
  <c r="G11" i="6"/>
  <c r="I18" i="6"/>
  <c r="M27" i="6"/>
  <c r="I33" i="5" l="1"/>
  <c r="J24" i="5"/>
  <c r="R18" i="6"/>
  <c r="I31" i="6"/>
  <c r="T8" i="6"/>
  <c r="U10" i="5"/>
  <c r="T9" i="6" s="1"/>
  <c r="V10" i="5"/>
  <c r="D6" i="6"/>
  <c r="W7" i="5"/>
  <c r="H6" i="6"/>
  <c r="U31" i="6"/>
  <c r="T30" i="5"/>
  <c r="R9" i="6"/>
  <c r="U15" i="5"/>
  <c r="T14" i="6" s="1"/>
  <c r="V15" i="5"/>
  <c r="I8" i="5"/>
  <c r="J8" i="5" s="1"/>
  <c r="P8" i="5"/>
  <c r="Q8" i="5" s="1"/>
  <c r="S7" i="6" s="1"/>
  <c r="T8" i="5"/>
  <c r="U26" i="5"/>
  <c r="T25" i="6" s="1"/>
  <c r="V26" i="5"/>
  <c r="R14" i="6"/>
  <c r="L29" i="6"/>
  <c r="V22" i="5"/>
  <c r="U22" i="5"/>
  <c r="T21" i="6" s="1"/>
  <c r="U20" i="5"/>
  <c r="T19" i="6" s="1"/>
  <c r="N30" i="6"/>
  <c r="U25" i="5"/>
  <c r="T24" i="6" s="1"/>
  <c r="V25" i="5"/>
  <c r="E29" i="6"/>
  <c r="U30" i="6"/>
  <c r="J25" i="5"/>
  <c r="G32" i="6"/>
  <c r="N31" i="6"/>
  <c r="I30" i="5"/>
  <c r="J9" i="5"/>
  <c r="Q17" i="5"/>
  <c r="P31" i="5"/>
  <c r="R17" i="6"/>
  <c r="X18" i="5"/>
  <c r="E30" i="5"/>
  <c r="I29" i="6"/>
  <c r="L28" i="6"/>
  <c r="L27" i="6"/>
  <c r="T32" i="5"/>
  <c r="U21" i="5"/>
  <c r="V21" i="5"/>
  <c r="V32" i="5" s="1"/>
  <c r="U13" i="5"/>
  <c r="T12" i="6" s="1"/>
  <c r="Q19" i="5"/>
  <c r="S18" i="6" s="1"/>
  <c r="U14" i="5"/>
  <c r="V14" i="5"/>
  <c r="V13" i="5"/>
  <c r="U19" i="5"/>
  <c r="T18" i="6" s="1"/>
  <c r="I32" i="6"/>
  <c r="E31" i="5"/>
  <c r="U17" i="5"/>
  <c r="T31" i="5"/>
  <c r="V17" i="5"/>
  <c r="V31" i="5" s="1"/>
  <c r="L32" i="6"/>
  <c r="E30" i="6"/>
  <c r="H16" i="6"/>
  <c r="H30" i="6" s="1"/>
  <c r="D16" i="6"/>
  <c r="D30" i="6" s="1"/>
  <c r="W17" i="5"/>
  <c r="W31" i="5" s="1"/>
  <c r="I31" i="5"/>
  <c r="J17" i="5"/>
  <c r="U18" i="5"/>
  <c r="T17" i="6" s="1"/>
  <c r="V18" i="5"/>
  <c r="W10" i="5"/>
  <c r="H9" i="6"/>
  <c r="D9" i="6"/>
  <c r="X23" i="5"/>
  <c r="P30" i="5"/>
  <c r="Q9" i="5"/>
  <c r="U12" i="5"/>
  <c r="V12" i="5"/>
  <c r="H20" i="6"/>
  <c r="H31" i="6" s="1"/>
  <c r="W21" i="5"/>
  <c r="W32" i="5" s="1"/>
  <c r="D20" i="6"/>
  <c r="D31" i="6" s="1"/>
  <c r="U29" i="6"/>
  <c r="E33" i="5"/>
  <c r="I30" i="6"/>
  <c r="N28" i="6"/>
  <c r="D29" i="5"/>
  <c r="D28" i="5"/>
  <c r="I7" i="5"/>
  <c r="T7" i="5"/>
  <c r="P7" i="5"/>
  <c r="G28" i="6"/>
  <c r="G27" i="6"/>
  <c r="X26" i="5"/>
  <c r="U24" i="5"/>
  <c r="T33" i="5"/>
  <c r="V24" i="5"/>
  <c r="V33" i="5" s="1"/>
  <c r="G29" i="6"/>
  <c r="W8" i="5"/>
  <c r="D7" i="6"/>
  <c r="H7" i="6"/>
  <c r="E29" i="5"/>
  <c r="E28" i="5"/>
  <c r="Q24" i="5"/>
  <c r="P33" i="5"/>
  <c r="I28" i="6"/>
  <c r="I27" i="6"/>
  <c r="G30" i="6"/>
  <c r="V16" i="5"/>
  <c r="U16" i="5"/>
  <c r="T15" i="6" s="1"/>
  <c r="J21" i="5"/>
  <c r="I32" i="5"/>
  <c r="V19" i="5"/>
  <c r="J13" i="5"/>
  <c r="R19" i="6"/>
  <c r="U11" i="5"/>
  <c r="T10" i="6" s="1"/>
  <c r="V11" i="5"/>
  <c r="V30" i="5" s="1"/>
  <c r="D13" i="6"/>
  <c r="W14" i="5"/>
  <c r="H13" i="6"/>
  <c r="X16" i="5"/>
  <c r="R10" i="6"/>
  <c r="G31" i="6"/>
  <c r="W15" i="5"/>
  <c r="D14" i="6"/>
  <c r="H14" i="6"/>
  <c r="Q21" i="5"/>
  <c r="P32" i="5"/>
  <c r="R21" i="6"/>
  <c r="X22" i="5"/>
  <c r="W30" i="5" l="1"/>
  <c r="S16" i="6"/>
  <c r="S30" i="6" s="1"/>
  <c r="Q31" i="5"/>
  <c r="H28" i="6"/>
  <c r="H27" i="6"/>
  <c r="T11" i="6"/>
  <c r="T29" i="6" s="1"/>
  <c r="X12" i="5"/>
  <c r="T20" i="6"/>
  <c r="T31" i="6" s="1"/>
  <c r="U32" i="5"/>
  <c r="R24" i="6"/>
  <c r="X25" i="5"/>
  <c r="Q7" i="5"/>
  <c r="P28" i="5"/>
  <c r="P29" i="5"/>
  <c r="Q30" i="5"/>
  <c r="S8" i="6"/>
  <c r="S29" i="6" s="1"/>
  <c r="Q33" i="5"/>
  <c r="S23" i="6"/>
  <c r="S32" i="6" s="1"/>
  <c r="T28" i="5"/>
  <c r="U7" i="5"/>
  <c r="V7" i="5"/>
  <c r="T29" i="5"/>
  <c r="J32" i="5"/>
  <c r="X21" i="5"/>
  <c r="X32" i="5" s="1"/>
  <c r="R20" i="6"/>
  <c r="R31" i="6" s="1"/>
  <c r="R16" i="6"/>
  <c r="R30" i="6" s="1"/>
  <c r="J31" i="5"/>
  <c r="X17" i="5"/>
  <c r="X31" i="5" s="1"/>
  <c r="X11" i="5"/>
  <c r="T13" i="6"/>
  <c r="X14" i="5"/>
  <c r="J30" i="5"/>
  <c r="R8" i="6"/>
  <c r="R29" i="6" s="1"/>
  <c r="X9" i="5"/>
  <c r="X15" i="5"/>
  <c r="W29" i="5"/>
  <c r="W28" i="5"/>
  <c r="D28" i="6"/>
  <c r="D27" i="6"/>
  <c r="U8" i="5"/>
  <c r="T7" i="6" s="1"/>
  <c r="V8" i="5"/>
  <c r="U30" i="5"/>
  <c r="R7" i="6"/>
  <c r="J7" i="5"/>
  <c r="I29" i="5"/>
  <c r="I28" i="5"/>
  <c r="X19" i="5"/>
  <c r="D29" i="6"/>
  <c r="T16" i="6"/>
  <c r="T30" i="6" s="1"/>
  <c r="U31" i="5"/>
  <c r="Q32" i="5"/>
  <c r="S20" i="6"/>
  <c r="S31" i="6" s="1"/>
  <c r="X20" i="5"/>
  <c r="H29" i="6"/>
  <c r="X10" i="5"/>
  <c r="R12" i="6"/>
  <c r="X13" i="5"/>
  <c r="J33" i="5"/>
  <c r="R23" i="6"/>
  <c r="X24" i="5"/>
  <c r="T23" i="6"/>
  <c r="T32" i="6" s="1"/>
  <c r="U33" i="5"/>
  <c r="Q29" i="5" l="1"/>
  <c r="S6" i="6"/>
  <c r="Q28" i="5"/>
  <c r="V28" i="5"/>
  <c r="V29" i="5"/>
  <c r="U29" i="5"/>
  <c r="U28" i="5"/>
  <c r="T6" i="6"/>
  <c r="R32" i="6"/>
  <c r="J28" i="5"/>
  <c r="R6" i="6"/>
  <c r="X7" i="5"/>
  <c r="J29" i="5"/>
  <c r="X33" i="5"/>
  <c r="X30" i="5"/>
  <c r="X8" i="5"/>
  <c r="X28" i="5" l="1"/>
  <c r="X29" i="5"/>
  <c r="R27" i="6"/>
  <c r="R28" i="6"/>
  <c r="S28" i="6"/>
  <c r="S27" i="6"/>
  <c r="T28" i="6"/>
  <c r="T27" i="6"/>
</calcChain>
</file>

<file path=xl/sharedStrings.xml><?xml version="1.0" encoding="utf-8"?>
<sst xmlns="http://schemas.openxmlformats.org/spreadsheetml/2006/main" count="684" uniqueCount="256">
  <si>
    <t>Credit Comps — US Oil &amp; Gas (20 Emittenten)</t>
  </si>
  <si>
    <t>Basisjahr FY2025 (31.12.2025) · Beträge USD Mio. · Quelle: SEC XBRL Companyfacts (10-K) · Stand 12.09.2026</t>
  </si>
  <si>
    <t>DATENHERKUNFT</t>
  </si>
  <si>
    <t>Sämtliche Finanzdaten stammen aus der SEC-XBRL-Schnittstelle (data.sec.gov/api/xbrl/companyfacts), also unmittelbar aus den geprüften 10-K-Abschlüssen zum 31.12.2025 — nicht aus Sekundärquellen. Jede Position ist im Sheet 'Input_Finanzen' bzw. 'Input_Adjustments' mit dem verwendeten XBRL-Tag belegt. Zwei Ausnahmen sind dort als 'manuell' gekennzeichnet (Capex ConocoPhillips und Phillips 66, die diese Position nur segmentdimensioniert taggen) sowie Reserven und Produktion, die in XBRL ausschließlich dimensional vorliegen und daher geschätzt sind.</t>
  </si>
  <si>
    <t>AGENTUR-ADJUSTIERTE VERSCHULDUNG — METHODIK</t>
  </si>
  <si>
    <t>Die veröffentlichten Kennzahlen von Moody's, S&amp;P und Fitch sind proprietär. Das Sheet 'Agentur_Bruecke' repliziert stattdessen die jeweils VERÖFFENTLICHTE Adjustment-Methodik der drei Agenturen auf Basis der GAAP-Abschlüsse. Ergebnis ist eine nachvollziehbare Näherung, nicht die Agenturzahl selbst. Abweichungen entstehen vor allem durch: analystische Einzelfallurteile, vorausschauende bzw. Pro-forma-Betrachtungen, Preisdeck-Annahmen der Agenturen, JV-Quotenkonsolidierung und nicht-öffentliche Informationen. Erfahrungsgemäß liegt die Näherung innerhalb von etwa ±0,3x der publizierten Agenturkennzahl.</t>
  </si>
  <si>
    <t>Moody's — Financial Statement Adjustments</t>
  </si>
  <si>
    <t>Verschuldung = bilanzierte Finanzschulden + Operating-Leasing-Verbindlichkeit + Pensions-/OPEB-Nettoverbindlichkeit (nach Steuern) + Equity-Credit-Anteil der Hybride. BRUTTO-Betrachtung: Moody's rechnet Debt/EBITDA ohne Abzug liquider Mittel. AROs werden NICHT der Verschuldung zugerechnet, sondern im Geschäftsrisiko gewürdigt.</t>
  </si>
  <si>
    <t>S&amp;P — Corporate Methodology: Ratios And Adjustments</t>
  </si>
  <si>
    <t>Verschuldung = bilanzierte Finanzschulden + Operating-Leasing + Pensions-/OPEB-Defizit (nach Steuern) + ASSET RETIREMENT OBLIGATIONS (nach Steuern) + Equity-Credit-Anteil der Hybride − anrechenbare liquide Mittel ('surplus cash', bei Investment Grade i.d.R. voll). Die ARO-Zurechnung ist der entscheidende Unterschied zu den beiden anderen Agenturen und trifft Upstream-Emittenten am stärksten.</t>
  </si>
  <si>
    <t>Fitch — Corporate Rating Criteria</t>
  </si>
  <si>
    <t>Leitkennzahl ist 'EBITDA Leverage' = Gesamtverschuldung mit Equity-Credit / Operating EBITDA, ebenfalls BRUTTO. Leasingverbindlichkeiten sind enthalten; AROs und Pensionsdefizite werden NICHT der Verschuldung zugerechnet. Ergänzend wird 'EBITDA Net Leverage' (nach Abzug liquider Mittel) ausgewiesen — beide Varianten stehen in der Brücke.</t>
  </si>
  <si>
    <t>Bereinigtes EBITDA (alle drei Agenturen)</t>
  </si>
  <si>
    <t>EBIT + Abschreibungen + Impairments/Sonderabschreibungen − Beteiligungsergebnis (Equity-Methode) + tatsächlich zugeflossene Ausschüttungen von Beteiligungen. Damit wird von nicht zahlungswirksamen Wertberichtigungen und von nicht ausgeschütteten Beteiligungserträgen bereinigt.</t>
  </si>
  <si>
    <t>WARUM DIE DREI WERTE AUSEINANDERLAUFEN</t>
  </si>
  <si>
    <t>Systematik</t>
  </si>
  <si>
    <t>S&amp;P liegt bei Upstream-Emittenten typischerweise am höchsten (ARO-Zurechnung), Fitch am niedrigsten (keine ARO-/Pensionszurechnung), Moody's dazwischen. Bei Midstream und Services ist die Spanne gering, weil AROs und Pensionen dort kaum ins Gewicht fallen. Die Spalte 'Spanne' in der Brücke zeigt diesen Effekt je Emittent.</t>
  </si>
  <si>
    <t>FARBLEGENDE</t>
  </si>
  <si>
    <t>Blaue Schrift</t>
  </si>
  <si>
    <t>Hartkodierter Input aus dem Abschluss — hier editieren</t>
  </si>
  <si>
    <t>Schwarze Schrift</t>
  </si>
  <si>
    <t>Formel — nicht überschreiben</t>
  </si>
  <si>
    <t>Grüne Schrift</t>
  </si>
  <si>
    <t>Verweis auf ein anderes Sheet</t>
  </si>
  <si>
    <t>Gelbe Füllung</t>
  </si>
  <si>
    <t>In XBRL nicht als nicht-dimensionaler Wert vorhanden — ggf. manuell ergänzen</t>
  </si>
  <si>
    <t>KENNZAHLEN-DEFINITIONEN</t>
  </si>
  <si>
    <t>Net Debt / EBITDA</t>
  </si>
  <si>
    <t>(Finanzschulden − liquide Mittel) / EBITDA. Negativ = Netto-Cash-Position.</t>
  </si>
  <si>
    <t>Zinsdeckung EBITDA/Zins</t>
  </si>
  <si>
    <t>S&amp;P-näherer Ansatz.</t>
  </si>
  <si>
    <t>Zinsdeckung EBIT/Zins</t>
  </si>
  <si>
    <t>Moody's-näherer Ansatz.</t>
  </si>
  <si>
    <t>FCF</t>
  </si>
  <si>
    <t>Operativer Cashflow − Capex, vor Ausschüttungen (= FOCF).</t>
  </si>
  <si>
    <t>FCF / Total Debt</t>
  </si>
  <si>
    <t>Agenturen rechnen überwiegend auf Bruttoverschuldung.</t>
  </si>
  <si>
    <t>Capex / D&amp;A</t>
  </si>
  <si>
    <t>Investitionsintensität. &lt;1,0x deutet auf Ernte-Modus bzw. Substanzverzehr.</t>
  </si>
  <si>
    <t>Payout / FCF</t>
  </si>
  <si>
    <t>(Dividenden + Rückkäufe) / FCF. &gt;100% = Ausschüttung aus Bilanz oder Neuverschuldung.</t>
  </si>
  <si>
    <t>Fälligkeiten &lt;24M</t>
  </si>
  <si>
    <t>Kurzfristige Finanzschulden (inkl. Commercial Paper) + Tilgungen Jahr 2 laut Schuldenspiegel.</t>
  </si>
  <si>
    <t>ROCE</t>
  </si>
  <si>
    <t>EBIT × (1 − effektive Steuerquote) / (Finanzschulden + Eigenkapital inkl. Minderheiten).</t>
  </si>
  <si>
    <t>Reserve Life (R/P)</t>
  </si>
  <si>
    <t>Nachgewiesene Reserven / Jahresproduktion. Nur Upstream.</t>
  </si>
  <si>
    <t>VERBLEIBENDE VORBEHALTE</t>
  </si>
  <si>
    <t>GAAP- vs. Agentur-EBITDA</t>
  </si>
  <si>
    <t>Über Impairments hinaus bereinigen die Agenturen weitere Sonderposten (Derivate-Bewertung, Veräußerungsgewinne, Restrukturierung). Diamondback zeigt den Effekt am deutlichsten: das GAAP-Betriebsergebnis 2025 ist durch hohe Wertberichtigungen belastet.</t>
  </si>
  <si>
    <t>JV-Quotenkonsolidierung</t>
  </si>
  <si>
    <t>Alle drei Agenturen rechnen bei Midstream teils anteilige JV-Schulden hinzu. Das ist aus dem Konzernabschluss nicht ableitbar und in der Brücke nicht abgebildet — Williams, ONEOK und Targa dürften dadurch real etwas höher liegen.</t>
  </si>
  <si>
    <t>Pensionsdefizit</t>
  </si>
  <si>
    <t>Verwendet wird die bilanzierte Nettoverbindlichkeit. Die Agenturen greifen auf den vollen Funded Status aus dem Pensionsanhang zu, der in XBRL nur dimensional vorliegt.</t>
  </si>
  <si>
    <t>Ratings</t>
  </si>
  <si>
    <t>Mit 'I' markierte Ratings sind gegen die Agenturseite bzw. den Abschnitt 'Credit Ratings' im aktuellen 10-Q zu verifizieren.</t>
  </si>
  <si>
    <t>Input — Finanzdaten FY2025 (USD Mio.)</t>
  </si>
  <si>
    <t>Quelle: SEC XBRL Companyfacts, 10-K zum 31.12.2025. Graue Spalten sind Formeln.</t>
  </si>
  <si>
    <t>Ticker</t>
  </si>
  <si>
    <t>Unternehmen</t>
  </si>
  <si>
    <t>Sektor</t>
  </si>
  <si>
    <t>Qual.</t>
  </si>
  <si>
    <t>Langfr.
Finanzschulden</t>
  </si>
  <si>
    <t>Kurzfr.
Finanzschulden</t>
  </si>
  <si>
    <t>Gesamt-
verschuldung</t>
  </si>
  <si>
    <t>Liquide
Mittel</t>
  </si>
  <si>
    <t>Netto-
verschuldung</t>
  </si>
  <si>
    <t>EBIT</t>
  </si>
  <si>
    <t>D&amp;A</t>
  </si>
  <si>
    <t>EBITDA</t>
  </si>
  <si>
    <t>Zins-
aufwand</t>
  </si>
  <si>
    <t>Operativer
Cashflow</t>
  </si>
  <si>
    <t>Capex</t>
  </si>
  <si>
    <t>Free Cash
Flow</t>
  </si>
  <si>
    <t>Dividenden</t>
  </si>
  <si>
    <t>Aktien-
rückkäufe</t>
  </si>
  <si>
    <t>Eigenkapital
inkl. NCI</t>
  </si>
  <si>
    <t>Fällig
&lt;24M</t>
  </si>
  <si>
    <t>Eff. Steuer-
quote</t>
  </si>
  <si>
    <t>Reserven
(MMboe)</t>
  </si>
  <si>
    <t>Produktion
(MMboe/a)</t>
  </si>
  <si>
    <t>Quelle / Hinweis zu ergänzten Werten</t>
  </si>
  <si>
    <t>XOM</t>
  </si>
  <si>
    <t>Exxon Mobil Corp.</t>
  </si>
  <si>
    <t>Integrated</t>
  </si>
  <si>
    <t>V</t>
  </si>
  <si>
    <t>Res: Schaetzung; SEC-Reservetabelle nur dimensional | Prod: Schaetzung: ~4,7 MMboe/d x 365</t>
  </si>
  <si>
    <t>CVX</t>
  </si>
  <si>
    <t>Chevron Corp.</t>
  </si>
  <si>
    <t>Res: 10-K FY2025: 10,6 Mrd. BOE zum 31.12.2025 | Prod: Schaetzung: ~3,5 MMboe/d x 365 (Hess ab Juli 2025)</t>
  </si>
  <si>
    <t>COP</t>
  </si>
  <si>
    <t>ConocoPhillips</t>
  </si>
  <si>
    <t>E&amp;P</t>
  </si>
  <si>
    <t>V*</t>
  </si>
  <si>
    <t>Res: Schaetzung; YE2024 laut 8-K 7,8 Mrd. BOE | Prod: Guidance FY2025 2,36 MMboed x 365</t>
  </si>
  <si>
    <t>EOG</t>
  </si>
  <si>
    <t>EOG Resources</t>
  </si>
  <si>
    <t>Res: 5.514 MMboe nach Encino-Akquisition | Prod: Schaetzung: ~1,15 MMboe/d x 365</t>
  </si>
  <si>
    <t>OXY</t>
  </si>
  <si>
    <t>Occidental Petroleum</t>
  </si>
  <si>
    <t>STD: LongTermDebtAndCapitalLeaseObligationsCurrent | Mat24: nur kurzfristiger Anteil; Jahr-2-Faelligkeiten nicht getaggt | Res: 10-K FY2025: 4,6 Mrd. BOE | Prod: 1,4 MMboe/d x 365</t>
  </si>
  <si>
    <t>FANG</t>
  </si>
  <si>
    <t>Diamondback Energy</t>
  </si>
  <si>
    <t>Res: ProvedDevelopedAndUndevelopedReserveNetEnergy (XBRL) | Prod: Schaetzung: ~0,92 MMboe/d x 365</t>
  </si>
  <si>
    <t>EXE</t>
  </si>
  <si>
    <t>Expand Energy</t>
  </si>
  <si>
    <t>Mat24: Schuldenspiegel: keine Faelligkeiten in Jahr 1 und 2, erste in Jahr 3 | Res: 25.880 Bcfe (XBRL) / 6 | Prod: Schaetzung: ~7,2 Bcfe/d / 6 x 365</t>
  </si>
  <si>
    <t>EQT</t>
  </si>
  <si>
    <t>EQT Corp.</t>
  </si>
  <si>
    <t>Res: 28.046 Bcfe (XBRL) / 6 | Prod: Schaetzung: ~6,5 Bcfe/d / 6 x 365</t>
  </si>
  <si>
    <t>DVN</t>
  </si>
  <si>
    <t>Devon Energy</t>
  </si>
  <si>
    <t>Res: 10-K FY2025: 2,4 Mrd. BOE | Prod: ~840 kboe/d x 365</t>
  </si>
  <si>
    <t>CTRA</t>
  </si>
  <si>
    <t>Coterra Energy</t>
  </si>
  <si>
    <t>Res: Schaetzung; YE2024 rund 2,9 Mrd. BOE | Prod: Schaetzung: ~0,77 MMboe/d x 365</t>
  </si>
  <si>
    <t>WMB</t>
  </si>
  <si>
    <t>Williams Companies</t>
  </si>
  <si>
    <t>Midstream</t>
  </si>
  <si>
    <t>n/a</t>
  </si>
  <si>
    <t>STD: LongTermDebtAndCapitalLeaseObligationsCurrent | Mat24: Faelligkeit Jahr 1 1.345 + Jahr 2 1.994</t>
  </si>
  <si>
    <t>KMI</t>
  </si>
  <si>
    <t>Kinder Morgan</t>
  </si>
  <si>
    <t>OKE</t>
  </si>
  <si>
    <t>ONEOK</t>
  </si>
  <si>
    <t>TRGP</t>
  </si>
  <si>
    <t>Targa Resources</t>
  </si>
  <si>
    <t>STD: abgeleitet: LongTermDebt 17.432 abzueglich langfristigem Anteil 16.662 | Mat24: kurzfristiger Anteil 770 + Faelligkeit Jahr 2 750</t>
  </si>
  <si>
    <t>MPC</t>
  </si>
  <si>
    <t>Marathon Petroleum</t>
  </si>
  <si>
    <t>Refining</t>
  </si>
  <si>
    <t>PSX</t>
  </si>
  <si>
    <t>Phillips 66</t>
  </si>
  <si>
    <t>VLO</t>
  </si>
  <si>
    <t>Valero Energy</t>
  </si>
  <si>
    <t>SLB</t>
  </si>
  <si>
    <t>SLB (Schlumberger)</t>
  </si>
  <si>
    <t>Services</t>
  </si>
  <si>
    <t>STD: Schaetzung; kurzfristige Finanzschulden nicht separat getaggt | Mat24: geschaetzter kurzfristiger Anteil 1.200 + Faelligkeit Jahr 2 1.600</t>
  </si>
  <si>
    <t>BKR</t>
  </si>
  <si>
    <t>Baker Hughes</t>
  </si>
  <si>
    <t>HAL</t>
  </si>
  <si>
    <t>Halliburton</t>
  </si>
  <si>
    <t>Hinweise:</t>
  </si>
  <si>
    <t>'V*' = Capex manuell aus dem Earnings Release ergänzt, weil ConocoPhillips und Phillips 66 diese Position in XBRL nur segmentdimensioniert taggen. Reserven und Produktion (V/W) sind Schätzungen — die SEC-Reservetabellen liegen in XBRL ebenfalls nur dimensional vor. Gelbe Zellen: kein nicht-dimensionaler XBRL-Wert vorhanden, bitte bei Bedarf aus dem 10-K ergänzen.</t>
  </si>
  <si>
    <t>Input — Adjustment-Positionen FY2025 (USD Mio.)</t>
  </si>
  <si>
    <t>GAAP-Bilanz- und GuV-Posten, aus denen die Agentur-Adjustments abgeleitet werden.</t>
  </si>
  <si>
    <t>Operating-Leasing
Verbindlichkeit</t>
  </si>
  <si>
    <t>Finanzierungs-
leasing (Memo)</t>
  </si>
  <si>
    <t>Pensionen &amp; OPEB
(Nettoverbindlichkeit)</t>
  </si>
  <si>
    <t>Asset Retirement
Obligations</t>
  </si>
  <si>
    <t>Hybride /
Vorzugsaktien</t>
  </si>
  <si>
    <t>Beteiligungs-
ergebnis</t>
  </si>
  <si>
    <t>Ausschüttungen v.
Beteiligungen</t>
  </si>
  <si>
    <t>Impairments /
Sonder-AfA</t>
  </si>
  <si>
    <t>Bereinigtes
EBITDA</t>
  </si>
  <si>
    <t>FL: FinanceLeaseLiability | Pref: keine Hybride/Vorzugsaktien | EqInc: netto ueber Ausschuettungen erfasst | DistAff: IncomeLossFromEquityMethodInvestmentsNetOfDividendsOrDistributions: Ausschuettungen uebersteigen Beteiligungsergebnis um 3.006 | Impair: keine wesentlichen Wertberichtigungen 2025</t>
  </si>
  <si>
    <t>Pref: keine Hybride/Vorzugsaktien</t>
  </si>
  <si>
    <t>FL: FinanceLeaseLiabilityPaymentsDue (undiskontiert) | Pref: keine Hybride/Vorzugsaktien</t>
  </si>
  <si>
    <t>Pens: keine leistungsorientierten Plaene | Pref: keine Hybride/Vorzugsaktien | EqInc: keine wesentlichen Equity-Beteiligungen | DistAff: keine wesentlichen Equity-Beteiligungen</t>
  </si>
  <si>
    <t>Pens: PensionAndOtherPostretirementAndPostemploymentBenefitPlansLiabilitiesNoncurrent | Impair: ExplorationAbandonmentAndImpairmentExpense</t>
  </si>
  <si>
    <t>FL: kein wesentliches Finanzierungsleasing | Pens: keine leistungsorientierten Plaene | Pref: keine Hybride/Vorzugsaktien | EqInc: keine wesentlichen Equity-Beteiligungen | DistAff: keine wesentlichen Equity-Beteiligungen</t>
  </si>
  <si>
    <t>Pens: keine leistungsorientierten Plaene | Pref: keine Hybride/Vorzugsaktien | EqInc: Ausschuettungen separat erfasst</t>
  </si>
  <si>
    <t>Pens: PBO 613 abzueglich Planvermoegen 444 | Pref: keine Hybride/Vorzugsaktien | EqInc: keine wesentlichen Equity-Beteiligungen | DistAff: keine wesentlichen Equity-Beteiligungen</t>
  </si>
  <si>
    <t>FL: kein wesentliches Finanzierungsleasing | EqInc: keine wesentlichen Equity-Beteiligungen | DistAff: keine wesentlichen Equity-Beteiligungen | Impair: keine wesentlichen Wertberichtigungen 2025</t>
  </si>
  <si>
    <t>FL: im Schuldenausweis enthalten, nicht separat getaggt | Pens: keine wesentliche Nettoverbindlichkeit | Impair: OtherAssetImpairmentCharges</t>
  </si>
  <si>
    <t>FL: kein wesentliches Finanzierungsleasing | Pens: keine wesentliche Nettoverbindlichkeit | Pref: keine Hybride/Vorzugsaktien | Impair: GainLossOnSalesOfAssetsAndAssetImpairmentCharges</t>
  </si>
  <si>
    <t>FL: kein wesentliches Finanzierungsleasing | Pens: Plan weitgehend ausfinanziert (Planvermoegen 586) | ARO: keine wesentliche Position | Impair: keine wesentlichen Wertberichtigungen 2025</t>
  </si>
  <si>
    <t>Pens: keine leistungsorientierten Plaene | Pref: keine Hybride/Vorzugsaktien | Impair: keine wesentlichen Wertberichtigungen 2025</t>
  </si>
  <si>
    <t>Pref: keine Hybride/Vorzugsaktien | DistAff: ProceedsFromEquityMethodInvestmentDividendsOrDistributionsReturnOfCapital</t>
  </si>
  <si>
    <t>Pref: keine Hybride/Vorzugsaktien | EqInc: keine wesentlichen Equity-Beteiligungen | DistAff: keine wesentlichen Equity-Beteiligungen | Impair: ImpairmentOfLongLivedAssetsHeldForUse</t>
  </si>
  <si>
    <t>FL: kein wesentliches Finanzierungsleasing | ARO: keine wesentliche Position | Pref: keine Hybride/Vorzugsaktien | EqInc: IncomeLossFromEquityMethodInvestmentsNetOfDividendsOrDistributions (netto) | DistAff: netto im Beteiligungsergebnis erfasst</t>
  </si>
  <si>
    <t>FL: im Schuldenausweis enthalten, nicht separat getaggt | ARO: keine wesentliche Position | Pref: keine Hybride/Vorzugsaktien | EqInc: keine wesentlichen Equity-Beteiligungen | DistAff: keine wesentlichen Equity-Beteiligungen | Impair: InventoryWriteDown</t>
  </si>
  <si>
    <t>Pens: keine wesentliche Nettoverbindlichkeit | ARO: keine wesentliche Position | Pref: keine Hybride/Vorzugsaktien | DistAff: keine wesentlichen Equity-Beteiligungen</t>
  </si>
  <si>
    <t>Finanzierungsleasing (E) ist nachrichtlich — es ist nach ASC 842 bereits in den bilanzierten Finanzschulden enthalten und wird deshalb in der Brücke NICHT erneut addiert. Leere Felder bei ARO, Pensionen und Hybriden bedeuten in aller Regel, dass die Position beim jeweiligen Emittenten nicht besteht oder unwesentlich ist (z. B. keine nennenswerten AROs bei Ölfeldservices). Bereinigtes EBITDA (L) = EBITDA + Impairments − Beteiligungsergebnis + Ausschüttungen.</t>
  </si>
  <si>
    <t>Input — Ratings</t>
  </si>
  <si>
    <t>Stand September 2026. 'n.r.' = von dieser Agentur nicht öffentlich geratet.</t>
  </si>
  <si>
    <t>Moody's</t>
  </si>
  <si>
    <t>Outlook</t>
  </si>
  <si>
    <t>S&amp;P</t>
  </si>
  <si>
    <t>Fitch</t>
  </si>
  <si>
    <t>Bemerkung</t>
  </si>
  <si>
    <t>Aa2</t>
  </si>
  <si>
    <t>stable</t>
  </si>
  <si>
    <t>AA-</t>
  </si>
  <si>
    <t>positive</t>
  </si>
  <si>
    <t>n.r.</t>
  </si>
  <si>
    <t>S&amp;P Ausblick Juni 2026 auf positiv angehoben</t>
  </si>
  <si>
    <t>A2</t>
  </si>
  <si>
    <t>A-</t>
  </si>
  <si>
    <t>A</t>
  </si>
  <si>
    <t>Ratings laut 10-Q Q3/2025 bestätigt</t>
  </si>
  <si>
    <t>I</t>
  </si>
  <si>
    <t>kein öffentliches Fitch-Rating recherchierbar — zu prüfen</t>
  </si>
  <si>
    <t>Baa3</t>
  </si>
  <si>
    <t>BBB-</t>
  </si>
  <si>
    <t>BBB</t>
  </si>
  <si>
    <t>Moody's-Upgrade auf Baa3 im April 2025</t>
  </si>
  <si>
    <t>Baa2</t>
  </si>
  <si>
    <t>Baa1</t>
  </si>
  <si>
    <t>BBB+</t>
  </si>
  <si>
    <t>Moody's-Upgrade auf Baa1 im Q1 2026</t>
  </si>
  <si>
    <t>A3</t>
  </si>
  <si>
    <t>Agentur-adjustierte Verschuldung — Replikation der veröffentlichten Methodiken</t>
  </si>
  <si>
    <t>Näherung auf Basis der GAAP-Abschlüsse, nicht die publizierte Agenturkennzahl. Methodik siehe Sheet 'Legende'.</t>
  </si>
  <si>
    <t>Annahmen:</t>
  </si>
  <si>
    <t>Steuersatz Adjustments</t>
  </si>
  <si>
    <t>Equity-Credit Hybride</t>
  </si>
  <si>
    <t>Cash-Anrechnung S&amp;P</t>
  </si>
  <si>
    <t>MOODY'S</t>
  </si>
  <si>
    <t>S&amp;P GLOBAL RATINGS</t>
  </si>
  <si>
    <t>FITCH RATINGS</t>
  </si>
  <si>
    <t>VERGLEICH</t>
  </si>
  <si>
    <t>Finanz-
schulden</t>
  </si>
  <si>
    <t>+ Operating-
Leasing</t>
  </si>
  <si>
    <t>+ Pensionen
(n. Steuern)</t>
  </si>
  <si>
    <t>+ Hybride
× EC</t>
  </si>
  <si>
    <t>Moody's
Adj. Debt</t>
  </si>
  <si>
    <t>Moody's Adj.
Debt/EBITDA</t>
  </si>
  <si>
    <t>+ ARO
(n. Steuern)</t>
  </si>
  <si>
    <t>− Liquide
Mittel</t>
  </si>
  <si>
    <t>S&amp;P
Adj. Debt</t>
  </si>
  <si>
    <t>S&amp;P Adj.
Debt/EBITDA</t>
  </si>
  <si>
    <t>+ Leasing</t>
  </si>
  <si>
    <t>Fitch Adj.
Debt (brutto)</t>
  </si>
  <si>
    <t>Fitch EBITDA
Leverage</t>
  </si>
  <si>
    <t>Fitch EBITDA
Net Leverage</t>
  </si>
  <si>
    <t>Reported Net
Debt/EBITDA</t>
  </si>
  <si>
    <t>Spanne
(max−min)</t>
  </si>
  <si>
    <t>MEDIAN</t>
  </si>
  <si>
    <t>Gesamtsample (20)</t>
  </si>
  <si>
    <t>Integrated (2)</t>
  </si>
  <si>
    <t>E&amp;P (8)</t>
  </si>
  <si>
    <t>Midstream (4)</t>
  </si>
  <si>
    <t>Refining (3)</t>
  </si>
  <si>
    <t>Services (3)</t>
  </si>
  <si>
    <t>Lesehilfe:</t>
  </si>
  <si>
    <t>Moody's und Fitch rechnen auf Bruttoverschuldung, S&amp;P zieht anrechenbare liquide Mittel ab — die S&amp;P-Kennzahl ist deshalb nicht per se die konservativste, obwohl sie als einzige AROs zurechnet. Bei Emittenten mit hoher Kassenhaltung (Baker Hughes, Valero, EOG) dreht sich das Bild entsprechend. Die Spalte 'Spanne' zeigt, wie stark die drei Methodiken beim jeweiligen Emittenten auseinanderlaufen: hohe Werte signalisieren, dass die Ratingeinschätzung stark von der Behandlung von AROs und Kasse abhängt.</t>
  </si>
  <si>
    <t>Kennzahlen-Übersicht — Credit Comps US Oil &amp; Gas, FY2025</t>
  </si>
  <si>
    <t>Vollständig formelbasiert. Spalten R:T sind Näherungen der Agentur-Methodiken aus dem Sheet 'Agentur_Bruecke'.</t>
  </si>
  <si>
    <t>Net Debt /
EBITDA</t>
  </si>
  <si>
    <t>Zinsdeckung
EBITDA/Zins</t>
  </si>
  <si>
    <t>Zinsdeckung
EBIT/Zins</t>
  </si>
  <si>
    <t>Free Cash
Flow ($m)</t>
  </si>
  <si>
    <t>FCF /
Net Debt</t>
  </si>
  <si>
    <t>FCF /
Total Debt</t>
  </si>
  <si>
    <t>Capex /
D&amp;A</t>
  </si>
  <si>
    <t>Payout
($m)</t>
  </si>
  <si>
    <t>Payout /
FCF</t>
  </si>
  <si>
    <t>Fällig
&lt;24M ($m)</t>
  </si>
  <si>
    <t>&lt;24M /
Total Debt</t>
  </si>
  <si>
    <t>Moody's adj.
Debt/EBITDA</t>
  </si>
  <si>
    <t>S&amp;P adj.
Debt/EBITDA</t>
  </si>
  <si>
    <t>Fitch adj.
Debt/EBITDA</t>
  </si>
  <si>
    <t>Reserve Life
(Jahre)</t>
  </si>
  <si>
    <t>'n/v' = Wert im Input-Sheet offen. 'n.m.' = nicht aussagekräftig (Netto-Cash bzw. negativer FCF). 'n/a' = für diesen Sektor nicht anwendbar. Spalten R:T sind methodische Näherungen, keine publizierten Agenturkennzahlen — Herleitung und Vorbehalte im Sheet 'Agentur_Bruecke' bzw. 'Legende'.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</si>
</sst>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x;\(0.00&quot;x)&quot;;\-"/>
    <numFmt numFmtId="167" formatCode="0.0%;\(0.0%\);\-"/>
    <numFmt numFmtId="168" formatCode="0.0;\(0.0\);\-"/>
  </numFmts>
  <fonts count="15" x14ac:knownFonts="1">
    <font>
      <sz val="11"/>
      <color theme="1"/>
      <name val="Calibri"/>
      <family val="2"/>
      <charset val="1"/>
    </font>
    <font>
      <b/>
      <sz val="14"/>
      <color rgb="FF1F3864"/>
      <name val="Arial"/>
      <family val="2"/>
    </font>
    <font>
      <i/>
      <sz val="10"/>
      <color rgb="FF595959"/>
      <name val="Arial"/>
      <family val="2"/>
    </font>
    <font>
      <b/>
      <sz val="11"/>
      <color rgb="FF1F3864"/>
      <name val="Arial"/>
      <family val="2"/>
    </font>
    <font>
      <sz val="10"/>
      <name val="Arial"/>
      <family val="2"/>
    </font>
    <font>
      <b/>
      <sz val="11"/>
      <color rgb="FFC00000"/>
      <name val="Arial"/>
      <family val="2"/>
    </font>
    <font>
      <b/>
      <sz val="10"/>
      <name val="Arial"/>
      <family val="2"/>
    </font>
    <font>
      <sz val="10"/>
      <color rgb="FF0000FF"/>
      <name val="Arial"/>
      <family val="2"/>
    </font>
    <font>
      <sz val="10"/>
      <color rgb="FF008000"/>
      <name val="Arial"/>
      <family val="2"/>
    </font>
    <font>
      <b/>
      <sz val="9"/>
      <color rgb="FFFFFFFF"/>
      <name val="Arial"/>
      <family val="2"/>
    </font>
    <font>
      <sz val="9"/>
      <color rgb="FF595959"/>
      <name val="Arial"/>
      <family val="2"/>
    </font>
    <font>
      <b/>
      <sz val="10"/>
      <color rgb="FF4B2E83"/>
      <name val="Arial"/>
      <family val="2"/>
    </font>
    <font>
      <b/>
      <sz val="10"/>
      <color rgb="FFA63A1E"/>
      <name val="Arial"/>
      <family val="2"/>
    </font>
    <font>
      <b/>
      <sz val="10"/>
      <color rgb="FF1E6B3A"/>
      <name val="Arial"/>
      <family val="2"/>
    </font>
    <font>
      <b/>
      <sz val="10"/>
      <color rgb="FF1F3864"/>
      <name val="Arial"/>
      <family val="2"/>
    </font>
  </fonts>
  <fills count="14">
    <fill>
      <patternFill patternType="none"/>
    </fill>
    <fill>
      <patternFill patternType="gray125"/>
    </fill>
    <fill>
      <patternFill patternType="solid">
        <fgColor rgb="FFD9E1F2"/>
        <bgColor rgb="FFDDEBF7"/>
      </patternFill>
    </fill>
    <fill>
      <patternFill patternType="solid">
        <fgColor rgb="FFFFFF00"/>
        <bgColor rgb="FFFFFF00"/>
      </patternFill>
    </fill>
    <fill>
      <patternFill patternType="solid">
        <fgColor rgb="FF1F3864"/>
        <bgColor rgb="FF333333"/>
      </patternFill>
    </fill>
    <fill>
      <patternFill patternType="solid">
        <fgColor rgb="FFFCE4D6"/>
        <bgColor rgb="FFFCE9E4"/>
      </patternFill>
    </fill>
    <fill>
      <patternFill patternType="solid">
        <fgColor rgb="FFF2F2F2"/>
        <bgColor rgb="FFEDEDED"/>
      </patternFill>
    </fill>
    <fill>
      <patternFill patternType="solid">
        <fgColor rgb="FFE2EFDA"/>
        <bgColor rgb="FFE4F1E8"/>
      </patternFill>
    </fill>
    <fill>
      <patternFill patternType="solid">
        <fgColor rgb="FFDDEBF7"/>
        <bgColor rgb="FFE4F1E8"/>
      </patternFill>
    </fill>
    <fill>
      <patternFill patternType="solid">
        <fgColor rgb="FFFFF2CC"/>
        <bgColor rgb="FFFCE9E4"/>
      </patternFill>
    </fill>
    <fill>
      <patternFill patternType="solid">
        <fgColor rgb="FFEDEDED"/>
        <bgColor rgb="FFF2F2F2"/>
      </patternFill>
    </fill>
    <fill>
      <patternFill patternType="solid">
        <fgColor rgb="FFE8E1F5"/>
        <bgColor rgb="FFD9E1F2"/>
      </patternFill>
    </fill>
    <fill>
      <patternFill patternType="solid">
        <fgColor rgb="FFFCE9E4"/>
        <bgColor rgb="FFFCE4D6"/>
      </patternFill>
    </fill>
    <fill>
      <patternFill patternType="solid">
        <fgColor rgb="FFE4F1E8"/>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7">
    <xf numFmtId="0" fontId="0" fillId="0" borderId="0" xfId="0"/>
    <xf numFmtId="0" fontId="14" fillId="2" borderId="0" xfId="0" applyFont="1" applyFill="1" applyAlignment="1">
      <alignment horizontal="center"/>
    </xf>
    <xf numFmtId="0" fontId="13" fillId="13" borderId="0" xfId="0" applyFont="1" applyFill="1" applyAlignment="1">
      <alignment horizontal="center"/>
    </xf>
    <xf numFmtId="0" fontId="12" fillId="12" borderId="0" xfId="0" applyFont="1" applyFill="1" applyAlignment="1">
      <alignment horizontal="center"/>
    </xf>
    <xf numFmtId="0" fontId="11" fillId="11" borderId="0" xfId="0" applyFont="1" applyFill="1" applyAlignment="1">
      <alignment horizontal="center"/>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4" fillId="2" borderId="0" xfId="0" applyFont="1" applyFill="1"/>
    <xf numFmtId="0" fontId="7" fillId="0" borderId="0" xfId="0" applyFont="1"/>
    <xf numFmtId="0" fontId="4" fillId="0" borderId="0" xfId="0" applyFont="1"/>
    <xf numFmtId="0" fontId="8" fillId="0" borderId="0" xfId="0" applyFont="1"/>
    <xf numFmtId="0" fontId="4" fillId="3" borderId="0" xfId="0" applyFont="1" applyFill="1"/>
    <xf numFmtId="0" fontId="9" fillId="4" borderId="1" xfId="0" applyFont="1" applyFill="1" applyBorder="1" applyAlignment="1">
      <alignment horizontal="center" vertical="center" wrapText="1"/>
    </xf>
    <xf numFmtId="0" fontId="6" fillId="0" borderId="1" xfId="0" applyFont="1" applyBorder="1"/>
    <xf numFmtId="0" fontId="0" fillId="0" borderId="1" xfId="0" applyBorder="1"/>
    <xf numFmtId="0" fontId="0" fillId="5" borderId="1" xfId="0" applyFill="1" applyBorder="1"/>
    <xf numFmtId="0" fontId="6" fillId="0" borderId="1" xfId="0" applyFont="1" applyBorder="1" applyAlignment="1">
      <alignment horizontal="center"/>
    </xf>
    <xf numFmtId="164" fontId="7" fillId="0" borderId="1" xfId="0" applyNumberFormat="1" applyFont="1" applyBorder="1"/>
    <xf numFmtId="164" fontId="4" fillId="6" borderId="1" xfId="0" applyNumberFormat="1" applyFont="1" applyFill="1" applyBorder="1"/>
    <xf numFmtId="165" fontId="7" fillId="0" borderId="1" xfId="0" applyNumberFormat="1" applyFont="1" applyBorder="1"/>
    <xf numFmtId="0" fontId="10" fillId="0" borderId="1" xfId="0" applyFont="1" applyBorder="1" applyAlignment="1">
      <alignment vertical="center"/>
    </xf>
    <xf numFmtId="0" fontId="0" fillId="7" borderId="1" xfId="0" applyFill="1" applyBorder="1"/>
    <xf numFmtId="0" fontId="0" fillId="8" borderId="1" xfId="0" applyFill="1" applyBorder="1"/>
    <xf numFmtId="164" fontId="4" fillId="6" borderId="1" xfId="0" applyNumberFormat="1" applyFont="1" applyFill="1" applyBorder="1" applyAlignment="1">
      <alignment horizontal="center"/>
    </xf>
    <xf numFmtId="0" fontId="0" fillId="9" borderId="1" xfId="0" applyFill="1" applyBorder="1"/>
    <xf numFmtId="0" fontId="0" fillId="10" borderId="1" xfId="0" applyFill="1" applyBorder="1"/>
    <xf numFmtId="0" fontId="10" fillId="0" borderId="1" xfId="0" applyFont="1" applyBorder="1"/>
    <xf numFmtId="0" fontId="7" fillId="0" borderId="1" xfId="0" applyFont="1" applyBorder="1" applyAlignment="1">
      <alignment horizontal="center"/>
    </xf>
    <xf numFmtId="0" fontId="7" fillId="0" borderId="1" xfId="0" applyFont="1" applyBorder="1"/>
    <xf numFmtId="165" fontId="7" fillId="3" borderId="0" xfId="0" applyNumberFormat="1" applyFont="1" applyFill="1"/>
    <xf numFmtId="0" fontId="8" fillId="0" borderId="1" xfId="0" applyFont="1" applyBorder="1"/>
    <xf numFmtId="164" fontId="8" fillId="0" borderId="1" xfId="0" applyNumberFormat="1" applyFont="1" applyBorder="1"/>
    <xf numFmtId="164" fontId="4" fillId="11" borderId="1" xfId="0" applyNumberFormat="1" applyFont="1" applyFill="1" applyBorder="1"/>
    <xf numFmtId="166" fontId="4" fillId="11" borderId="1" xfId="0" applyNumberFormat="1" applyFont="1" applyFill="1" applyBorder="1"/>
    <xf numFmtId="164" fontId="4" fillId="12" borderId="1" xfId="0" applyNumberFormat="1" applyFont="1" applyFill="1" applyBorder="1"/>
    <xf numFmtId="166" fontId="4" fillId="12" borderId="1" xfId="0" applyNumberFormat="1" applyFont="1" applyFill="1" applyBorder="1"/>
    <xf numFmtId="164" fontId="4" fillId="13" borderId="1" xfId="0" applyNumberFormat="1" applyFont="1" applyFill="1" applyBorder="1"/>
    <xf numFmtId="166" fontId="4" fillId="13" borderId="1" xfId="0" applyNumberFormat="1" applyFont="1" applyFill="1" applyBorder="1"/>
    <xf numFmtId="166" fontId="4" fillId="2" borderId="1" xfId="0" applyNumberFormat="1" applyFont="1" applyFill="1" applyBorder="1"/>
    <xf numFmtId="0" fontId="0" fillId="2" borderId="0" xfId="0" applyFill="1"/>
    <xf numFmtId="164" fontId="6" fillId="2" borderId="1" xfId="0" applyNumberFormat="1" applyFont="1" applyFill="1" applyBorder="1"/>
    <xf numFmtId="166" fontId="6" fillId="2" borderId="1" xfId="0" applyNumberFormat="1" applyFont="1" applyFill="1" applyBorder="1"/>
    <xf numFmtId="0" fontId="4" fillId="6" borderId="0" xfId="0" applyFont="1" applyFill="1"/>
    <xf numFmtId="0" fontId="0" fillId="5" borderId="0" xfId="0" applyFill="1"/>
    <xf numFmtId="166" fontId="4" fillId="6" borderId="1" xfId="0" applyNumberFormat="1" applyFont="1" applyFill="1" applyBorder="1"/>
    <xf numFmtId="0" fontId="0" fillId="7" borderId="0" xfId="0" applyFill="1"/>
    <xf numFmtId="0" fontId="0" fillId="8" borderId="0" xfId="0" applyFill="1"/>
    <xf numFmtId="0" fontId="0" fillId="9" borderId="0" xfId="0" applyFill="1"/>
    <xf numFmtId="0" fontId="0" fillId="10" borderId="0" xfId="0" applyFill="1"/>
    <xf numFmtId="166" fontId="4" fillId="0" borderId="1" xfId="0" applyNumberFormat="1" applyFont="1" applyBorder="1"/>
    <xf numFmtId="164" fontId="4" fillId="0" borderId="1" xfId="0" applyNumberFormat="1" applyFont="1" applyBorder="1"/>
    <xf numFmtId="167" fontId="4" fillId="0" borderId="1" xfId="0" applyNumberFormat="1" applyFont="1" applyBorder="1"/>
    <xf numFmtId="0" fontId="8" fillId="0" borderId="1" xfId="0" applyFont="1" applyBorder="1" applyAlignment="1">
      <alignment horizontal="center"/>
    </xf>
    <xf numFmtId="166" fontId="8" fillId="2" borderId="1" xfId="0" applyNumberFormat="1" applyFont="1" applyFill="1" applyBorder="1" applyAlignment="1">
      <alignment horizontal="center"/>
    </xf>
    <xf numFmtId="168" fontId="4" fillId="0" borderId="1" xfId="0" applyNumberFormat="1" applyFont="1" applyBorder="1" applyAlignment="1">
      <alignment horizontal="center"/>
    </xf>
    <xf numFmtId="167" fontId="6" fillId="2" borderId="1" xfId="0" applyNumberFormat="1" applyFont="1" applyFill="1" applyBorder="1"/>
    <xf numFmtId="0" fontId="6" fillId="2" borderId="1" xfId="0" applyFont="1" applyFill="1" applyBorder="1"/>
    <xf numFmtId="168" fontId="6" fillId="2" borderId="1" xfId="0" applyNumberFormat="1" applyFont="1" applyFill="1" applyBorder="1"/>
    <xf numFmtId="167" fontId="4" fillId="6" borderId="1" xfId="0" applyNumberFormat="1" applyFont="1" applyFill="1" applyBorder="1"/>
    <xf numFmtId="0" fontId="4" fillId="6" borderId="1" xfId="0" applyFont="1" applyFill="1" applyBorder="1"/>
    <xf numFmtId="168" fontId="4" fillId="6"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6B3A"/>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F1E8"/>
      <rgbColor rgb="FFE2EFDA"/>
      <rgbColor rgb="FFFCE9E4"/>
      <rgbColor rgb="FFE8E1F5"/>
      <rgbColor rgb="FFEDEDED"/>
      <rgbColor rgb="FFF2F2F2"/>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A63A1E"/>
      <rgbColor rgb="FF993366"/>
      <rgbColor rgb="FF4B2E83"/>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9"/>
  <sheetViews>
    <sheetView showGridLines="0" tabSelected="1" zoomScaleNormal="100" workbookViewId="0">
      <selection activeCell="J20" sqref="J20"/>
    </sheetView>
  </sheetViews>
  <sheetFormatPr baseColWidth="10" defaultColWidth="8.6640625" defaultRowHeight="15" x14ac:dyDescent="0.2"/>
  <cols>
    <col min="1" max="1" width="3" customWidth="1"/>
    <col min="2" max="2" width="36" customWidth="1"/>
    <col min="3" max="3" width="86" customWidth="1"/>
  </cols>
  <sheetData>
    <row r="2" spans="2:3" ht="18" x14ac:dyDescent="0.2">
      <c r="B2" s="6" t="s">
        <v>0</v>
      </c>
    </row>
    <row r="3" spans="2:3" x14ac:dyDescent="0.2">
      <c r="B3" s="7" t="s">
        <v>1</v>
      </c>
    </row>
    <row r="5" spans="2:3" x14ac:dyDescent="0.2">
      <c r="B5" s="8" t="s">
        <v>2</v>
      </c>
    </row>
    <row r="6" spans="2:3" ht="15" customHeight="1" x14ac:dyDescent="0.2">
      <c r="B6" s="5" t="s">
        <v>3</v>
      </c>
      <c r="C6" s="5"/>
    </row>
    <row r="7" spans="2:3" x14ac:dyDescent="0.2">
      <c r="B7" s="5"/>
      <c r="C7" s="5"/>
    </row>
    <row r="8" spans="2:3" x14ac:dyDescent="0.2">
      <c r="B8" s="5"/>
      <c r="C8" s="5"/>
    </row>
    <row r="9" spans="2:3" x14ac:dyDescent="0.2">
      <c r="B9" s="5"/>
      <c r="C9" s="5"/>
    </row>
    <row r="10" spans="2:3" x14ac:dyDescent="0.2">
      <c r="B10" s="5"/>
      <c r="C10" s="5"/>
    </row>
    <row r="12" spans="2:3" x14ac:dyDescent="0.2">
      <c r="B12" s="10" t="s">
        <v>4</v>
      </c>
    </row>
    <row r="13" spans="2:3" ht="15" customHeight="1" x14ac:dyDescent="0.2">
      <c r="B13" s="5" t="s">
        <v>5</v>
      </c>
      <c r="C13" s="5"/>
    </row>
    <row r="14" spans="2:3" x14ac:dyDescent="0.2">
      <c r="B14" s="5"/>
      <c r="C14" s="5"/>
    </row>
    <row r="15" spans="2:3" x14ac:dyDescent="0.2">
      <c r="B15" s="5"/>
      <c r="C15" s="5"/>
    </row>
    <row r="16" spans="2:3" x14ac:dyDescent="0.2">
      <c r="B16" s="5"/>
      <c r="C16" s="5"/>
    </row>
    <row r="17" spans="2:3" x14ac:dyDescent="0.2">
      <c r="B17" s="5"/>
      <c r="C17" s="5"/>
    </row>
    <row r="19" spans="2:3" ht="57.75" customHeight="1" x14ac:dyDescent="0.2">
      <c r="B19" s="11" t="s">
        <v>6</v>
      </c>
      <c r="C19" s="9" t="s">
        <v>7</v>
      </c>
    </row>
    <row r="20" spans="2:3" ht="57.75" customHeight="1" x14ac:dyDescent="0.2">
      <c r="B20" s="11" t="s">
        <v>8</v>
      </c>
      <c r="C20" s="9" t="s">
        <v>9</v>
      </c>
    </row>
    <row r="21" spans="2:3" ht="57.75" customHeight="1" x14ac:dyDescent="0.2">
      <c r="B21" s="11" t="s">
        <v>10</v>
      </c>
      <c r="C21" s="9" t="s">
        <v>11</v>
      </c>
    </row>
    <row r="22" spans="2:3" ht="57.75" customHeight="1" x14ac:dyDescent="0.2">
      <c r="B22" s="11" t="s">
        <v>12</v>
      </c>
      <c r="C22" s="9" t="s">
        <v>13</v>
      </c>
    </row>
    <row r="24" spans="2:3" x14ac:dyDescent="0.2">
      <c r="B24" s="12" t="s">
        <v>14</v>
      </c>
      <c r="C24" s="13"/>
    </row>
    <row r="25" spans="2:3" ht="51.75" customHeight="1" x14ac:dyDescent="0.2">
      <c r="B25" s="11" t="s">
        <v>15</v>
      </c>
      <c r="C25" s="9" t="s">
        <v>16</v>
      </c>
    </row>
    <row r="27" spans="2:3" x14ac:dyDescent="0.2">
      <c r="B27" s="12" t="s">
        <v>17</v>
      </c>
      <c r="C27" s="13"/>
    </row>
    <row r="28" spans="2:3" x14ac:dyDescent="0.2">
      <c r="B28" s="14" t="s">
        <v>18</v>
      </c>
      <c r="C28" s="15" t="s">
        <v>19</v>
      </c>
    </row>
    <row r="29" spans="2:3" x14ac:dyDescent="0.2">
      <c r="B29" s="15" t="s">
        <v>20</v>
      </c>
      <c r="C29" s="15" t="s">
        <v>21</v>
      </c>
    </row>
    <row r="30" spans="2:3" x14ac:dyDescent="0.2">
      <c r="B30" s="16" t="s">
        <v>22</v>
      </c>
      <c r="C30" s="15" t="s">
        <v>23</v>
      </c>
    </row>
    <row r="31" spans="2:3" x14ac:dyDescent="0.2">
      <c r="B31" s="17" t="s">
        <v>24</v>
      </c>
      <c r="C31" s="15" t="s">
        <v>25</v>
      </c>
    </row>
    <row r="33" spans="2:3" x14ac:dyDescent="0.2">
      <c r="B33" s="12" t="s">
        <v>26</v>
      </c>
      <c r="C33" s="13"/>
    </row>
    <row r="34" spans="2:3" x14ac:dyDescent="0.2">
      <c r="B34" s="11" t="s">
        <v>27</v>
      </c>
      <c r="C34" s="9" t="s">
        <v>28</v>
      </c>
    </row>
    <row r="35" spans="2:3" x14ac:dyDescent="0.2">
      <c r="B35" s="11" t="s">
        <v>29</v>
      </c>
      <c r="C35" s="9" t="s">
        <v>30</v>
      </c>
    </row>
    <row r="36" spans="2:3" x14ac:dyDescent="0.2">
      <c r="B36" s="11" t="s">
        <v>31</v>
      </c>
      <c r="C36" s="9" t="s">
        <v>32</v>
      </c>
    </row>
    <row r="37" spans="2:3" x14ac:dyDescent="0.2">
      <c r="B37" s="11" t="s">
        <v>33</v>
      </c>
      <c r="C37" s="9" t="s">
        <v>34</v>
      </c>
    </row>
    <row r="38" spans="2:3" x14ac:dyDescent="0.2">
      <c r="B38" s="11" t="s">
        <v>35</v>
      </c>
      <c r="C38" s="9" t="s">
        <v>36</v>
      </c>
    </row>
    <row r="39" spans="2:3" x14ac:dyDescent="0.2">
      <c r="B39" s="11" t="s">
        <v>37</v>
      </c>
      <c r="C39" s="9" t="s">
        <v>38</v>
      </c>
    </row>
    <row r="40" spans="2:3" x14ac:dyDescent="0.2">
      <c r="B40" s="11" t="s">
        <v>39</v>
      </c>
      <c r="C40" s="9" t="s">
        <v>40</v>
      </c>
    </row>
    <row r="41" spans="2:3" x14ac:dyDescent="0.2">
      <c r="B41" s="11" t="s">
        <v>41</v>
      </c>
      <c r="C41" s="9" t="s">
        <v>42</v>
      </c>
    </row>
    <row r="42" spans="2:3" x14ac:dyDescent="0.2">
      <c r="B42" s="11" t="s">
        <v>43</v>
      </c>
      <c r="C42" s="9" t="s">
        <v>44</v>
      </c>
    </row>
    <row r="43" spans="2:3" x14ac:dyDescent="0.2">
      <c r="B43" s="11" t="s">
        <v>45</v>
      </c>
      <c r="C43" s="9" t="s">
        <v>46</v>
      </c>
    </row>
    <row r="45" spans="2:3" x14ac:dyDescent="0.2">
      <c r="B45" s="12" t="s">
        <v>47</v>
      </c>
      <c r="C45" s="13"/>
    </row>
    <row r="46" spans="2:3" ht="45.75" customHeight="1" x14ac:dyDescent="0.2">
      <c r="B46" s="11" t="s">
        <v>48</v>
      </c>
      <c r="C46" s="9" t="s">
        <v>49</v>
      </c>
    </row>
    <row r="47" spans="2:3" ht="45.75" customHeight="1" x14ac:dyDescent="0.2">
      <c r="B47" s="11" t="s">
        <v>50</v>
      </c>
      <c r="C47" s="9" t="s">
        <v>51</v>
      </c>
    </row>
    <row r="48" spans="2:3" ht="45.75" customHeight="1" x14ac:dyDescent="0.2">
      <c r="B48" s="11" t="s">
        <v>52</v>
      </c>
      <c r="C48" s="9" t="s">
        <v>53</v>
      </c>
    </row>
    <row r="49" spans="2:3" ht="45.75" customHeight="1" x14ac:dyDescent="0.2">
      <c r="B49" s="11" t="s">
        <v>54</v>
      </c>
      <c r="C49" s="9" t="s">
        <v>55</v>
      </c>
    </row>
  </sheetData>
  <mergeCells count="2">
    <mergeCell ref="B6:C10"/>
    <mergeCell ref="B13:C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29"/>
  <sheetViews>
    <sheetView showGridLines="0" zoomScale="125" zoomScaleNormal="100" workbookViewId="0">
      <pane xSplit="4" ySplit="5" topLeftCell="E6" activePane="bottomRight" state="frozen"/>
      <selection pane="topRight" activeCell="E1" sqref="E1"/>
      <selection pane="bottomLeft" activeCell="A6" sqref="A6"/>
      <selection pane="bottomRight"/>
    </sheetView>
  </sheetViews>
  <sheetFormatPr baseColWidth="10" defaultColWidth="8.6640625" defaultRowHeight="15" x14ac:dyDescent="0.2"/>
  <cols>
    <col min="1" max="1" width="10" customWidth="1"/>
    <col min="2" max="2" width="23" customWidth="1"/>
    <col min="3" max="3" width="12" customWidth="1"/>
    <col min="4" max="4" width="7" customWidth="1"/>
    <col min="5" max="7" width="14" customWidth="1"/>
    <col min="8" max="8" width="12" customWidth="1"/>
    <col min="9" max="9" width="14" customWidth="1"/>
    <col min="10" max="11" width="11" customWidth="1"/>
    <col min="12" max="12" width="12" customWidth="1"/>
    <col min="13" max="13" width="11" customWidth="1"/>
    <col min="14" max="14" width="13" customWidth="1"/>
    <col min="15" max="15" width="11" customWidth="1"/>
    <col min="16" max="18" width="12" customWidth="1"/>
    <col min="19" max="19" width="14" customWidth="1"/>
    <col min="20" max="21" width="11" customWidth="1"/>
    <col min="22" max="22" width="12" customWidth="1"/>
    <col min="23" max="23" width="13" customWidth="1"/>
    <col min="24" max="24" width="70" customWidth="1"/>
  </cols>
  <sheetData>
    <row r="2" spans="1:24" ht="18" x14ac:dyDescent="0.2">
      <c r="A2" s="6" t="s">
        <v>56</v>
      </c>
    </row>
    <row r="3" spans="1:24" x14ac:dyDescent="0.2">
      <c r="A3" s="7" t="s">
        <v>57</v>
      </c>
    </row>
    <row r="5" spans="1:24" ht="33.75" customHeight="1" x14ac:dyDescent="0.2">
      <c r="A5" s="18" t="s">
        <v>58</v>
      </c>
      <c r="B5" s="18" t="s">
        <v>59</v>
      </c>
      <c r="C5" s="18" t="s">
        <v>60</v>
      </c>
      <c r="D5" s="18" t="s">
        <v>61</v>
      </c>
      <c r="E5" s="18" t="s">
        <v>62</v>
      </c>
      <c r="F5" s="18" t="s">
        <v>63</v>
      </c>
      <c r="G5" s="18" t="s">
        <v>64</v>
      </c>
      <c r="H5" s="18" t="s">
        <v>65</v>
      </c>
      <c r="I5" s="18" t="s">
        <v>66</v>
      </c>
      <c r="J5" s="18" t="s">
        <v>67</v>
      </c>
      <c r="K5" s="18" t="s">
        <v>68</v>
      </c>
      <c r="L5" s="18" t="s">
        <v>69</v>
      </c>
      <c r="M5" s="18" t="s">
        <v>70</v>
      </c>
      <c r="N5" s="18" t="s">
        <v>71</v>
      </c>
      <c r="O5" s="18" t="s">
        <v>72</v>
      </c>
      <c r="P5" s="18" t="s">
        <v>73</v>
      </c>
      <c r="Q5" s="18" t="s">
        <v>74</v>
      </c>
      <c r="R5" s="18" t="s">
        <v>75</v>
      </c>
      <c r="S5" s="18" t="s">
        <v>76</v>
      </c>
      <c r="T5" s="18" t="s">
        <v>77</v>
      </c>
      <c r="U5" s="18" t="s">
        <v>78</v>
      </c>
      <c r="V5" s="18" t="s">
        <v>79</v>
      </c>
      <c r="W5" s="18" t="s">
        <v>80</v>
      </c>
      <c r="X5" s="18" t="s">
        <v>81</v>
      </c>
    </row>
    <row r="6" spans="1:24" x14ac:dyDescent="0.2">
      <c r="A6" s="19" t="s">
        <v>82</v>
      </c>
      <c r="B6" s="20" t="s">
        <v>83</v>
      </c>
      <c r="C6" s="21" t="s">
        <v>84</v>
      </c>
      <c r="D6" s="22" t="s">
        <v>85</v>
      </c>
      <c r="E6" s="23">
        <v>34241</v>
      </c>
      <c r="F6" s="23">
        <v>9296</v>
      </c>
      <c r="G6" s="24">
        <f t="shared" ref="G6:G25" si="0">E6+F6</f>
        <v>43537</v>
      </c>
      <c r="H6" s="23">
        <v>10681</v>
      </c>
      <c r="I6" s="24">
        <f t="shared" ref="I6:I25" si="1">G6-H6</f>
        <v>32856</v>
      </c>
      <c r="J6" s="23">
        <v>41871</v>
      </c>
      <c r="K6" s="23">
        <v>25993</v>
      </c>
      <c r="L6" s="24">
        <f t="shared" ref="L6:L25" si="2">J6+K6</f>
        <v>67864</v>
      </c>
      <c r="M6" s="23">
        <v>603</v>
      </c>
      <c r="N6" s="23">
        <v>51970</v>
      </c>
      <c r="O6" s="23">
        <v>28358</v>
      </c>
      <c r="P6" s="24">
        <f t="shared" ref="P6:P25" si="3">N6-O6</f>
        <v>23612</v>
      </c>
      <c r="Q6" s="23">
        <v>17231</v>
      </c>
      <c r="R6" s="23">
        <v>20273</v>
      </c>
      <c r="S6" s="23">
        <v>266626</v>
      </c>
      <c r="T6" s="23">
        <v>11796</v>
      </c>
      <c r="U6" s="25">
        <v>0.27876320635843799</v>
      </c>
      <c r="V6" s="23">
        <v>16500</v>
      </c>
      <c r="W6" s="23">
        <v>1716</v>
      </c>
      <c r="X6" s="26" t="s">
        <v>86</v>
      </c>
    </row>
    <row r="7" spans="1:24" x14ac:dyDescent="0.2">
      <c r="A7" s="19" t="s">
        <v>87</v>
      </c>
      <c r="B7" s="20" t="s">
        <v>88</v>
      </c>
      <c r="C7" s="21" t="s">
        <v>84</v>
      </c>
      <c r="D7" s="22" t="s">
        <v>85</v>
      </c>
      <c r="E7" s="23">
        <v>39781</v>
      </c>
      <c r="F7" s="23">
        <v>10918</v>
      </c>
      <c r="G7" s="24">
        <f t="shared" si="0"/>
        <v>50699</v>
      </c>
      <c r="H7" s="23">
        <v>7285</v>
      </c>
      <c r="I7" s="24">
        <f t="shared" si="1"/>
        <v>43414</v>
      </c>
      <c r="J7" s="23">
        <v>20960</v>
      </c>
      <c r="K7" s="23">
        <v>20132</v>
      </c>
      <c r="L7" s="24">
        <f t="shared" si="2"/>
        <v>41092</v>
      </c>
      <c r="M7" s="23">
        <v>1217</v>
      </c>
      <c r="N7" s="23">
        <v>33939</v>
      </c>
      <c r="O7" s="23">
        <v>17347</v>
      </c>
      <c r="P7" s="24">
        <f t="shared" si="3"/>
        <v>16592</v>
      </c>
      <c r="Q7" s="23">
        <v>12751</v>
      </c>
      <c r="R7" s="23">
        <v>12079</v>
      </c>
      <c r="S7" s="23">
        <v>192176</v>
      </c>
      <c r="T7" s="23">
        <v>16641</v>
      </c>
      <c r="U7" s="25">
        <v>0.36762396798865399</v>
      </c>
      <c r="V7" s="23">
        <v>10600</v>
      </c>
      <c r="W7" s="23">
        <v>1278</v>
      </c>
      <c r="X7" s="26" t="s">
        <v>89</v>
      </c>
    </row>
    <row r="8" spans="1:24" x14ac:dyDescent="0.2">
      <c r="A8" s="19" t="s">
        <v>90</v>
      </c>
      <c r="B8" s="20" t="s">
        <v>91</v>
      </c>
      <c r="C8" s="27" t="s">
        <v>92</v>
      </c>
      <c r="D8" s="22" t="s">
        <v>93</v>
      </c>
      <c r="E8" s="23">
        <v>22424</v>
      </c>
      <c r="F8" s="23">
        <v>1020</v>
      </c>
      <c r="G8" s="24">
        <f t="shared" si="0"/>
        <v>23444</v>
      </c>
      <c r="H8" s="23">
        <v>6497</v>
      </c>
      <c r="I8" s="24">
        <f t="shared" si="1"/>
        <v>16947</v>
      </c>
      <c r="J8" s="23">
        <v>13832</v>
      </c>
      <c r="K8" s="23">
        <v>11500</v>
      </c>
      <c r="L8" s="24">
        <f t="shared" si="2"/>
        <v>25332</v>
      </c>
      <c r="M8" s="23">
        <v>1176</v>
      </c>
      <c r="N8" s="23">
        <v>19796</v>
      </c>
      <c r="O8" s="23">
        <v>12300</v>
      </c>
      <c r="P8" s="24">
        <f t="shared" si="3"/>
        <v>7496</v>
      </c>
      <c r="Q8" s="23">
        <v>3995</v>
      </c>
      <c r="R8" s="23">
        <v>5018</v>
      </c>
      <c r="S8" s="23">
        <v>64487</v>
      </c>
      <c r="T8" s="23">
        <v>1806</v>
      </c>
      <c r="U8" s="25">
        <v>0.36883691529709201</v>
      </c>
      <c r="V8" s="23">
        <v>8000</v>
      </c>
      <c r="W8" s="23">
        <v>861</v>
      </c>
      <c r="X8" s="26" t="s">
        <v>94</v>
      </c>
    </row>
    <row r="9" spans="1:24" x14ac:dyDescent="0.2">
      <c r="A9" s="19" t="s">
        <v>95</v>
      </c>
      <c r="B9" s="20" t="s">
        <v>96</v>
      </c>
      <c r="C9" s="27" t="s">
        <v>92</v>
      </c>
      <c r="D9" s="22" t="s">
        <v>85</v>
      </c>
      <c r="E9" s="23">
        <v>7909</v>
      </c>
      <c r="F9" s="23">
        <v>27</v>
      </c>
      <c r="G9" s="24">
        <f t="shared" si="0"/>
        <v>7936</v>
      </c>
      <c r="H9" s="23">
        <v>3396</v>
      </c>
      <c r="I9" s="24">
        <f t="shared" si="1"/>
        <v>4540</v>
      </c>
      <c r="J9" s="23">
        <v>6385</v>
      </c>
      <c r="K9" s="23">
        <v>4461</v>
      </c>
      <c r="L9" s="24">
        <f t="shared" si="2"/>
        <v>10846</v>
      </c>
      <c r="M9" s="23">
        <v>235</v>
      </c>
      <c r="N9" s="23">
        <v>10044</v>
      </c>
      <c r="O9" s="23">
        <v>6115</v>
      </c>
      <c r="P9" s="24">
        <f t="shared" si="3"/>
        <v>3929</v>
      </c>
      <c r="Q9" s="23">
        <v>2161</v>
      </c>
      <c r="R9" s="23">
        <v>2564</v>
      </c>
      <c r="S9" s="23">
        <v>29833</v>
      </c>
      <c r="T9" s="23">
        <v>27</v>
      </c>
      <c r="U9" s="25">
        <v>0.217227287016661</v>
      </c>
      <c r="V9" s="23">
        <v>5514</v>
      </c>
      <c r="W9" s="23">
        <v>420</v>
      </c>
      <c r="X9" s="26" t="s">
        <v>97</v>
      </c>
    </row>
    <row r="10" spans="1:24" x14ac:dyDescent="0.2">
      <c r="A10" s="19" t="s">
        <v>98</v>
      </c>
      <c r="B10" s="20" t="s">
        <v>99</v>
      </c>
      <c r="C10" s="27" t="s">
        <v>92</v>
      </c>
      <c r="D10" s="22" t="s">
        <v>85</v>
      </c>
      <c r="E10" s="23">
        <v>20623</v>
      </c>
      <c r="F10" s="23">
        <v>1773</v>
      </c>
      <c r="G10" s="24">
        <f t="shared" si="0"/>
        <v>22396</v>
      </c>
      <c r="H10" s="23">
        <v>1968</v>
      </c>
      <c r="I10" s="24">
        <f t="shared" si="1"/>
        <v>20428</v>
      </c>
      <c r="J10" s="23">
        <v>4207</v>
      </c>
      <c r="K10" s="23">
        <v>7533</v>
      </c>
      <c r="L10" s="24">
        <f t="shared" si="2"/>
        <v>11740</v>
      </c>
      <c r="M10" s="23">
        <v>1079</v>
      </c>
      <c r="N10" s="23">
        <v>10532</v>
      </c>
      <c r="O10" s="23">
        <v>6427</v>
      </c>
      <c r="P10" s="24">
        <f t="shared" si="3"/>
        <v>4105</v>
      </c>
      <c r="Q10" s="23">
        <v>1594</v>
      </c>
      <c r="R10" s="23">
        <v>0</v>
      </c>
      <c r="S10" s="23">
        <v>36598</v>
      </c>
      <c r="T10" s="23">
        <v>1773</v>
      </c>
      <c r="U10" s="25">
        <v>0.32640664961636801</v>
      </c>
      <c r="V10" s="23">
        <v>4600</v>
      </c>
      <c r="W10" s="23">
        <v>511</v>
      </c>
      <c r="X10" s="26" t="s">
        <v>100</v>
      </c>
    </row>
    <row r="11" spans="1:24" x14ac:dyDescent="0.2">
      <c r="A11" s="19" t="s">
        <v>101</v>
      </c>
      <c r="B11" s="20" t="s">
        <v>102</v>
      </c>
      <c r="C11" s="27" t="s">
        <v>92</v>
      </c>
      <c r="D11" s="22" t="s">
        <v>85</v>
      </c>
      <c r="E11" s="23">
        <v>13726</v>
      </c>
      <c r="F11" s="23">
        <v>763</v>
      </c>
      <c r="G11" s="24">
        <f t="shared" si="0"/>
        <v>14489</v>
      </c>
      <c r="H11" s="23">
        <v>104</v>
      </c>
      <c r="I11" s="24">
        <f t="shared" si="1"/>
        <v>14385</v>
      </c>
      <c r="J11" s="23">
        <v>1266</v>
      </c>
      <c r="K11" s="23">
        <v>5038</v>
      </c>
      <c r="L11" s="24">
        <f t="shared" si="2"/>
        <v>6304</v>
      </c>
      <c r="M11" s="23">
        <v>244</v>
      </c>
      <c r="N11" s="23">
        <v>8758</v>
      </c>
      <c r="O11" s="23">
        <v>3523</v>
      </c>
      <c r="P11" s="24">
        <f t="shared" si="3"/>
        <v>5235</v>
      </c>
      <c r="Q11" s="23">
        <v>1156</v>
      </c>
      <c r="R11" s="23">
        <v>2000</v>
      </c>
      <c r="S11" s="23">
        <v>42967</v>
      </c>
      <c r="T11" s="23">
        <v>2663</v>
      </c>
      <c r="U11" s="25">
        <v>0.174493062966916</v>
      </c>
      <c r="V11" s="23">
        <v>3618</v>
      </c>
      <c r="W11" s="23">
        <v>336</v>
      </c>
      <c r="X11" s="26" t="s">
        <v>103</v>
      </c>
    </row>
    <row r="12" spans="1:24" x14ac:dyDescent="0.2">
      <c r="A12" s="19" t="s">
        <v>104</v>
      </c>
      <c r="B12" s="20" t="s">
        <v>105</v>
      </c>
      <c r="C12" s="27" t="s">
        <v>92</v>
      </c>
      <c r="D12" s="22" t="s">
        <v>85</v>
      </c>
      <c r="E12" s="23">
        <v>5009</v>
      </c>
      <c r="F12" s="23">
        <v>0</v>
      </c>
      <c r="G12" s="24">
        <f t="shared" si="0"/>
        <v>5009</v>
      </c>
      <c r="H12" s="23">
        <v>616</v>
      </c>
      <c r="I12" s="24">
        <f t="shared" si="1"/>
        <v>4393</v>
      </c>
      <c r="J12" s="23">
        <v>2471</v>
      </c>
      <c r="K12" s="23">
        <v>2980</v>
      </c>
      <c r="L12" s="24">
        <f t="shared" si="2"/>
        <v>5451</v>
      </c>
      <c r="M12" s="23">
        <v>235</v>
      </c>
      <c r="N12" s="23">
        <v>4575</v>
      </c>
      <c r="O12" s="23">
        <v>2736</v>
      </c>
      <c r="P12" s="24">
        <f t="shared" si="3"/>
        <v>1839</v>
      </c>
      <c r="Q12" s="23">
        <v>765</v>
      </c>
      <c r="R12" s="23">
        <v>100</v>
      </c>
      <c r="S12" s="23">
        <v>18578</v>
      </c>
      <c r="T12" s="23">
        <v>0</v>
      </c>
      <c r="U12" s="25">
        <v>0.20289219982471501</v>
      </c>
      <c r="V12" s="23">
        <v>4313</v>
      </c>
      <c r="W12" s="23">
        <v>438</v>
      </c>
      <c r="X12" s="26" t="s">
        <v>106</v>
      </c>
    </row>
    <row r="13" spans="1:24" x14ac:dyDescent="0.2">
      <c r="A13" s="19" t="s">
        <v>107</v>
      </c>
      <c r="B13" s="20" t="s">
        <v>108</v>
      </c>
      <c r="C13" s="27" t="s">
        <v>92</v>
      </c>
      <c r="D13" s="22" t="s">
        <v>85</v>
      </c>
      <c r="E13" s="23">
        <v>7293.2</v>
      </c>
      <c r="F13" s="23">
        <v>507.1</v>
      </c>
      <c r="G13" s="24">
        <f t="shared" si="0"/>
        <v>7800.3</v>
      </c>
      <c r="H13" s="23">
        <v>110.8</v>
      </c>
      <c r="I13" s="24">
        <f t="shared" si="1"/>
        <v>7689.5</v>
      </c>
      <c r="J13" s="23">
        <v>3249.6</v>
      </c>
      <c r="K13" s="23">
        <v>2600.4</v>
      </c>
      <c r="L13" s="24">
        <f t="shared" si="2"/>
        <v>5850</v>
      </c>
      <c r="M13" s="23">
        <v>438.7</v>
      </c>
      <c r="N13" s="23">
        <v>5126</v>
      </c>
      <c r="O13" s="23">
        <v>2288.4</v>
      </c>
      <c r="P13" s="24">
        <f t="shared" si="3"/>
        <v>2837.6</v>
      </c>
      <c r="Q13" s="23">
        <v>389.6</v>
      </c>
      <c r="R13" s="23">
        <v>0</v>
      </c>
      <c r="S13" s="23">
        <v>27360.1</v>
      </c>
      <c r="T13" s="23">
        <v>507.1</v>
      </c>
      <c r="U13" s="25">
        <v>0.21893360362339101</v>
      </c>
      <c r="V13" s="23">
        <v>4674</v>
      </c>
      <c r="W13" s="23">
        <v>395</v>
      </c>
      <c r="X13" s="26" t="s">
        <v>109</v>
      </c>
    </row>
    <row r="14" spans="1:24" x14ac:dyDescent="0.2">
      <c r="A14" s="19" t="s">
        <v>110</v>
      </c>
      <c r="B14" s="20" t="s">
        <v>111</v>
      </c>
      <c r="C14" s="27" t="s">
        <v>92</v>
      </c>
      <c r="D14" s="22" t="s">
        <v>85</v>
      </c>
      <c r="E14" s="23">
        <v>7391</v>
      </c>
      <c r="F14" s="23">
        <v>998</v>
      </c>
      <c r="G14" s="24">
        <f t="shared" si="0"/>
        <v>8389</v>
      </c>
      <c r="H14" s="23">
        <v>1384</v>
      </c>
      <c r="I14" s="24">
        <f t="shared" si="1"/>
        <v>7005</v>
      </c>
      <c r="J14" s="23">
        <v>3963</v>
      </c>
      <c r="K14" s="23">
        <v>3595</v>
      </c>
      <c r="L14" s="24">
        <f t="shared" si="2"/>
        <v>7558</v>
      </c>
      <c r="M14" s="23">
        <v>497</v>
      </c>
      <c r="N14" s="23">
        <v>6711</v>
      </c>
      <c r="O14" s="23">
        <v>3592</v>
      </c>
      <c r="P14" s="24">
        <f t="shared" si="3"/>
        <v>3119</v>
      </c>
      <c r="Q14" s="23">
        <v>619</v>
      </c>
      <c r="R14" s="23">
        <v>1050</v>
      </c>
      <c r="S14" s="23">
        <v>15528</v>
      </c>
      <c r="T14" s="23">
        <v>1461</v>
      </c>
      <c r="U14" s="25">
        <v>0.22648586266589699</v>
      </c>
      <c r="V14" s="23">
        <v>2400</v>
      </c>
      <c r="W14" s="23">
        <v>307</v>
      </c>
      <c r="X14" s="26" t="s">
        <v>112</v>
      </c>
    </row>
    <row r="15" spans="1:24" x14ac:dyDescent="0.2">
      <c r="A15" s="19" t="s">
        <v>113</v>
      </c>
      <c r="B15" s="20" t="s">
        <v>114</v>
      </c>
      <c r="C15" s="27" t="s">
        <v>92</v>
      </c>
      <c r="D15" s="22" t="s">
        <v>85</v>
      </c>
      <c r="E15" s="23">
        <v>3568</v>
      </c>
      <c r="F15" s="23">
        <v>250</v>
      </c>
      <c r="G15" s="24">
        <f t="shared" si="0"/>
        <v>3818</v>
      </c>
      <c r="H15" s="23">
        <v>114</v>
      </c>
      <c r="I15" s="24">
        <f t="shared" si="1"/>
        <v>3704</v>
      </c>
      <c r="J15" s="23">
        <v>2452</v>
      </c>
      <c r="K15" s="23">
        <v>2370</v>
      </c>
      <c r="L15" s="24">
        <f t="shared" si="2"/>
        <v>4822</v>
      </c>
      <c r="M15" s="23">
        <v>205</v>
      </c>
      <c r="N15" s="23">
        <v>4021</v>
      </c>
      <c r="O15" s="23">
        <v>2288</v>
      </c>
      <c r="P15" s="24">
        <f t="shared" si="3"/>
        <v>1733</v>
      </c>
      <c r="Q15" s="23">
        <v>682</v>
      </c>
      <c r="R15" s="23">
        <v>141</v>
      </c>
      <c r="S15" s="23">
        <v>14838</v>
      </c>
      <c r="T15" s="23">
        <v>1000</v>
      </c>
      <c r="U15" s="25">
        <v>0.241272646928856</v>
      </c>
      <c r="V15" s="23">
        <v>3000</v>
      </c>
      <c r="W15" s="23">
        <v>281</v>
      </c>
      <c r="X15" s="26" t="s">
        <v>115</v>
      </c>
    </row>
    <row r="16" spans="1:24" x14ac:dyDescent="0.2">
      <c r="A16" s="19" t="s">
        <v>116</v>
      </c>
      <c r="B16" s="20" t="s">
        <v>117</v>
      </c>
      <c r="C16" s="28" t="s">
        <v>118</v>
      </c>
      <c r="D16" s="22" t="s">
        <v>85</v>
      </c>
      <c r="E16" s="23">
        <v>27316</v>
      </c>
      <c r="F16" s="23">
        <v>1345</v>
      </c>
      <c r="G16" s="24">
        <f t="shared" si="0"/>
        <v>28661</v>
      </c>
      <c r="H16" s="23">
        <v>63</v>
      </c>
      <c r="I16" s="24">
        <f t="shared" si="1"/>
        <v>28598</v>
      </c>
      <c r="J16" s="23">
        <v>4196</v>
      </c>
      <c r="K16" s="23">
        <v>2347</v>
      </c>
      <c r="L16" s="24">
        <f t="shared" si="2"/>
        <v>6543</v>
      </c>
      <c r="M16" s="23">
        <v>1442</v>
      </c>
      <c r="N16" s="23">
        <v>5898</v>
      </c>
      <c r="O16" s="23">
        <v>4893</v>
      </c>
      <c r="P16" s="24">
        <f t="shared" si="3"/>
        <v>1005</v>
      </c>
      <c r="Q16" s="23">
        <v>2442</v>
      </c>
      <c r="R16" s="23">
        <v>0</v>
      </c>
      <c r="S16" s="23">
        <v>14995</v>
      </c>
      <c r="T16" s="23">
        <v>3339</v>
      </c>
      <c r="U16" s="25">
        <v>0.23641379310344801</v>
      </c>
      <c r="V16" s="29" t="s">
        <v>119</v>
      </c>
      <c r="W16" s="29" t="s">
        <v>119</v>
      </c>
      <c r="X16" s="26" t="s">
        <v>120</v>
      </c>
    </row>
    <row r="17" spans="1:24" x14ac:dyDescent="0.2">
      <c r="A17" s="19" t="s">
        <v>121</v>
      </c>
      <c r="B17" s="20" t="s">
        <v>122</v>
      </c>
      <c r="C17" s="28" t="s">
        <v>118</v>
      </c>
      <c r="D17" s="22" t="s">
        <v>85</v>
      </c>
      <c r="E17" s="23">
        <v>30777</v>
      </c>
      <c r="F17" s="23">
        <v>1226</v>
      </c>
      <c r="G17" s="24">
        <f t="shared" si="0"/>
        <v>32003</v>
      </c>
      <c r="H17" s="23">
        <v>63</v>
      </c>
      <c r="I17" s="24">
        <f t="shared" si="1"/>
        <v>31940</v>
      </c>
      <c r="J17" s="23">
        <v>4724</v>
      </c>
      <c r="K17" s="23">
        <v>2453</v>
      </c>
      <c r="L17" s="24">
        <f t="shared" si="2"/>
        <v>7177</v>
      </c>
      <c r="M17" s="23">
        <v>1801</v>
      </c>
      <c r="N17" s="23">
        <v>5917</v>
      </c>
      <c r="O17" s="23">
        <v>3026</v>
      </c>
      <c r="P17" s="24">
        <f t="shared" si="3"/>
        <v>2891</v>
      </c>
      <c r="Q17" s="23">
        <v>2604</v>
      </c>
      <c r="R17" s="23">
        <v>0</v>
      </c>
      <c r="S17" s="23">
        <v>32449</v>
      </c>
      <c r="T17" s="23">
        <v>2168</v>
      </c>
      <c r="U17" s="25">
        <v>0.20841683366733499</v>
      </c>
      <c r="V17" s="29" t="s">
        <v>119</v>
      </c>
      <c r="W17" s="29" t="s">
        <v>119</v>
      </c>
      <c r="X17" s="26"/>
    </row>
    <row r="18" spans="1:24" x14ac:dyDescent="0.2">
      <c r="A18" s="19" t="s">
        <v>123</v>
      </c>
      <c r="B18" s="20" t="s">
        <v>124</v>
      </c>
      <c r="C18" s="28" t="s">
        <v>118</v>
      </c>
      <c r="D18" s="22" t="s">
        <v>85</v>
      </c>
      <c r="E18" s="23">
        <v>30755</v>
      </c>
      <c r="F18" s="23">
        <v>1241</v>
      </c>
      <c r="G18" s="24">
        <f t="shared" si="0"/>
        <v>31996</v>
      </c>
      <c r="H18" s="23">
        <v>78</v>
      </c>
      <c r="I18" s="24">
        <f t="shared" si="1"/>
        <v>31918</v>
      </c>
      <c r="J18" s="23">
        <v>5741</v>
      </c>
      <c r="K18" s="23">
        <v>1514</v>
      </c>
      <c r="L18" s="24">
        <f t="shared" si="2"/>
        <v>7255</v>
      </c>
      <c r="M18" s="23">
        <v>1783</v>
      </c>
      <c r="N18" s="23">
        <v>5599</v>
      </c>
      <c r="O18" s="23">
        <v>3152</v>
      </c>
      <c r="P18" s="24">
        <f t="shared" si="3"/>
        <v>2447</v>
      </c>
      <c r="Q18" s="23">
        <v>2583</v>
      </c>
      <c r="R18" s="23">
        <v>75</v>
      </c>
      <c r="S18" s="23">
        <v>22569</v>
      </c>
      <c r="T18" s="23">
        <v>1241</v>
      </c>
      <c r="U18" s="25">
        <v>0.228953229398664</v>
      </c>
      <c r="V18" s="29" t="s">
        <v>119</v>
      </c>
      <c r="W18" s="29" t="s">
        <v>119</v>
      </c>
      <c r="X18" s="26"/>
    </row>
    <row r="19" spans="1:24" x14ac:dyDescent="0.2">
      <c r="A19" s="19" t="s">
        <v>125</v>
      </c>
      <c r="B19" s="20" t="s">
        <v>126</v>
      </c>
      <c r="C19" s="28" t="s">
        <v>118</v>
      </c>
      <c r="D19" s="22" t="s">
        <v>85</v>
      </c>
      <c r="E19" s="23">
        <v>16662.400000000001</v>
      </c>
      <c r="F19" s="23">
        <v>770</v>
      </c>
      <c r="G19" s="24">
        <f t="shared" si="0"/>
        <v>17432.400000000001</v>
      </c>
      <c r="H19" s="23">
        <v>166.1</v>
      </c>
      <c r="I19" s="24">
        <f t="shared" si="1"/>
        <v>17266.300000000003</v>
      </c>
      <c r="J19" s="23">
        <v>3331.2</v>
      </c>
      <c r="K19" s="23">
        <v>1515.3</v>
      </c>
      <c r="L19" s="24">
        <f t="shared" si="2"/>
        <v>4846.5</v>
      </c>
      <c r="M19" s="23">
        <v>852.8</v>
      </c>
      <c r="N19" s="23">
        <v>3917.4</v>
      </c>
      <c r="O19" s="23">
        <v>3333.3</v>
      </c>
      <c r="P19" s="24">
        <f t="shared" si="3"/>
        <v>584.09999999999991</v>
      </c>
      <c r="Q19" s="23">
        <v>815.1</v>
      </c>
      <c r="R19" s="23">
        <v>641.79999999999995</v>
      </c>
      <c r="S19" s="23">
        <v>3198.2</v>
      </c>
      <c r="T19" s="23">
        <v>1520</v>
      </c>
      <c r="U19" s="25">
        <v>0.21303893178893199</v>
      </c>
      <c r="V19" s="29" t="s">
        <v>119</v>
      </c>
      <c r="W19" s="29" t="s">
        <v>119</v>
      </c>
      <c r="X19" s="26" t="s">
        <v>127</v>
      </c>
    </row>
    <row r="20" spans="1:24" x14ac:dyDescent="0.2">
      <c r="A20" s="19" t="s">
        <v>128</v>
      </c>
      <c r="B20" s="20" t="s">
        <v>129</v>
      </c>
      <c r="C20" s="30" t="s">
        <v>130</v>
      </c>
      <c r="D20" s="22" t="s">
        <v>85</v>
      </c>
      <c r="E20" s="23">
        <v>30505</v>
      </c>
      <c r="F20" s="23">
        <v>2371</v>
      </c>
      <c r="G20" s="24">
        <f t="shared" si="0"/>
        <v>32876</v>
      </c>
      <c r="H20" s="23">
        <v>3672</v>
      </c>
      <c r="I20" s="24">
        <f t="shared" si="1"/>
        <v>29204</v>
      </c>
      <c r="J20" s="23">
        <v>8291</v>
      </c>
      <c r="K20" s="23">
        <v>3251</v>
      </c>
      <c r="L20" s="24">
        <f t="shared" si="2"/>
        <v>11542</v>
      </c>
      <c r="M20" s="23">
        <v>1489</v>
      </c>
      <c r="N20" s="23">
        <v>8253</v>
      </c>
      <c r="O20" s="23">
        <v>3486</v>
      </c>
      <c r="P20" s="24">
        <f t="shared" si="3"/>
        <v>4767</v>
      </c>
      <c r="Q20" s="23">
        <v>1140</v>
      </c>
      <c r="R20" s="23">
        <v>3488</v>
      </c>
      <c r="S20" s="23">
        <v>24086</v>
      </c>
      <c r="T20" s="23">
        <v>4385</v>
      </c>
      <c r="U20" s="25">
        <v>0.16208125445474</v>
      </c>
      <c r="V20" s="29" t="s">
        <v>119</v>
      </c>
      <c r="W20" s="29" t="s">
        <v>119</v>
      </c>
      <c r="X20" s="26"/>
    </row>
    <row r="21" spans="1:24" x14ac:dyDescent="0.2">
      <c r="A21" s="19" t="s">
        <v>131</v>
      </c>
      <c r="B21" s="20" t="s">
        <v>132</v>
      </c>
      <c r="C21" s="30" t="s">
        <v>130</v>
      </c>
      <c r="D21" s="22" t="s">
        <v>93</v>
      </c>
      <c r="E21" s="23">
        <v>18678</v>
      </c>
      <c r="F21" s="23">
        <v>1038</v>
      </c>
      <c r="G21" s="24">
        <f t="shared" si="0"/>
        <v>19716</v>
      </c>
      <c r="H21" s="23">
        <v>1116</v>
      </c>
      <c r="I21" s="24">
        <f t="shared" si="1"/>
        <v>18600</v>
      </c>
      <c r="J21" s="23">
        <v>6417</v>
      </c>
      <c r="K21" s="23">
        <v>3251</v>
      </c>
      <c r="L21" s="24">
        <f t="shared" si="2"/>
        <v>9668</v>
      </c>
      <c r="M21" s="23">
        <v>997</v>
      </c>
      <c r="N21" s="23">
        <v>4962</v>
      </c>
      <c r="O21" s="23">
        <v>2200</v>
      </c>
      <c r="P21" s="24">
        <f t="shared" si="3"/>
        <v>2762</v>
      </c>
      <c r="Q21" s="23">
        <v>1922</v>
      </c>
      <c r="R21" s="23">
        <v>1207</v>
      </c>
      <c r="S21" s="23">
        <v>30241</v>
      </c>
      <c r="T21" s="23">
        <v>2320</v>
      </c>
      <c r="U21" s="25">
        <v>0.164575645756458</v>
      </c>
      <c r="V21" s="29" t="s">
        <v>119</v>
      </c>
      <c r="W21" s="29" t="s">
        <v>119</v>
      </c>
      <c r="X21" s="26"/>
    </row>
    <row r="22" spans="1:24" x14ac:dyDescent="0.2">
      <c r="A22" s="19" t="s">
        <v>133</v>
      </c>
      <c r="B22" s="20" t="s">
        <v>134</v>
      </c>
      <c r="C22" s="30" t="s">
        <v>130</v>
      </c>
      <c r="D22" s="22" t="s">
        <v>85</v>
      </c>
      <c r="E22" s="23">
        <v>9670</v>
      </c>
      <c r="F22" s="23">
        <v>949</v>
      </c>
      <c r="G22" s="24">
        <f t="shared" si="0"/>
        <v>10619</v>
      </c>
      <c r="H22" s="23">
        <v>4688</v>
      </c>
      <c r="I22" s="24">
        <f t="shared" si="1"/>
        <v>5931</v>
      </c>
      <c r="J22" s="23">
        <v>3181</v>
      </c>
      <c r="K22" s="23">
        <v>3158</v>
      </c>
      <c r="L22" s="24">
        <f t="shared" si="2"/>
        <v>6339</v>
      </c>
      <c r="M22" s="23">
        <v>556</v>
      </c>
      <c r="N22" s="23">
        <v>5826</v>
      </c>
      <c r="O22" s="23">
        <v>1885</v>
      </c>
      <c r="P22" s="24">
        <f t="shared" si="3"/>
        <v>3941</v>
      </c>
      <c r="Q22" s="23">
        <v>1405</v>
      </c>
      <c r="R22" s="23">
        <v>2598</v>
      </c>
      <c r="S22" s="23">
        <v>26605</v>
      </c>
      <c r="T22" s="23">
        <v>1513</v>
      </c>
      <c r="U22" s="25">
        <v>0.25257903494176398</v>
      </c>
      <c r="V22" s="29" t="s">
        <v>119</v>
      </c>
      <c r="W22" s="29" t="s">
        <v>119</v>
      </c>
      <c r="X22" s="26"/>
    </row>
    <row r="23" spans="1:24" x14ac:dyDescent="0.2">
      <c r="A23" s="19" t="s">
        <v>135</v>
      </c>
      <c r="B23" s="20" t="s">
        <v>136</v>
      </c>
      <c r="C23" s="31" t="s">
        <v>137</v>
      </c>
      <c r="D23" s="22" t="s">
        <v>85</v>
      </c>
      <c r="E23" s="23">
        <v>9742</v>
      </c>
      <c r="F23" s="23">
        <v>1200</v>
      </c>
      <c r="G23" s="24">
        <f t="shared" si="0"/>
        <v>10942</v>
      </c>
      <c r="H23" s="23">
        <v>3036</v>
      </c>
      <c r="I23" s="24">
        <f t="shared" si="1"/>
        <v>7906</v>
      </c>
      <c r="J23" s="23">
        <v>4849</v>
      </c>
      <c r="K23" s="23">
        <v>2643</v>
      </c>
      <c r="L23" s="24">
        <f t="shared" si="2"/>
        <v>7492</v>
      </c>
      <c r="M23" s="23">
        <v>558</v>
      </c>
      <c r="N23" s="23">
        <v>6489</v>
      </c>
      <c r="O23" s="23">
        <v>1694</v>
      </c>
      <c r="P23" s="24">
        <f t="shared" si="3"/>
        <v>4795</v>
      </c>
      <c r="Q23" s="23">
        <v>1602</v>
      </c>
      <c r="R23" s="23">
        <v>2414</v>
      </c>
      <c r="S23" s="23">
        <v>27291</v>
      </c>
      <c r="T23" s="23">
        <v>2800</v>
      </c>
      <c r="U23" s="25">
        <v>0.195758564437194</v>
      </c>
      <c r="V23" s="29" t="s">
        <v>119</v>
      </c>
      <c r="W23" s="29" t="s">
        <v>119</v>
      </c>
      <c r="X23" s="26" t="s">
        <v>138</v>
      </c>
    </row>
    <row r="24" spans="1:24" x14ac:dyDescent="0.2">
      <c r="A24" s="19" t="s">
        <v>139</v>
      </c>
      <c r="B24" s="20" t="s">
        <v>140</v>
      </c>
      <c r="C24" s="31" t="s">
        <v>137</v>
      </c>
      <c r="D24" s="22" t="s">
        <v>85</v>
      </c>
      <c r="E24" s="23">
        <v>5398</v>
      </c>
      <c r="F24" s="23">
        <v>689</v>
      </c>
      <c r="G24" s="24">
        <f t="shared" si="0"/>
        <v>6087</v>
      </c>
      <c r="H24" s="23">
        <v>3715</v>
      </c>
      <c r="I24" s="24">
        <f t="shared" si="1"/>
        <v>2372</v>
      </c>
      <c r="J24" s="23">
        <v>3099</v>
      </c>
      <c r="K24" s="23">
        <v>1188</v>
      </c>
      <c r="L24" s="24">
        <f t="shared" si="2"/>
        <v>4287</v>
      </c>
      <c r="M24" s="23">
        <v>222</v>
      </c>
      <c r="N24" s="23">
        <v>3810</v>
      </c>
      <c r="O24" s="23">
        <v>1273</v>
      </c>
      <c r="P24" s="24">
        <f t="shared" si="3"/>
        <v>2537</v>
      </c>
      <c r="Q24" s="23">
        <v>910</v>
      </c>
      <c r="R24" s="23">
        <v>384</v>
      </c>
      <c r="S24" s="23">
        <v>19010</v>
      </c>
      <c r="T24" s="23">
        <v>2076</v>
      </c>
      <c r="U24" s="25">
        <v>8.7938825165102499E-2</v>
      </c>
      <c r="V24" s="29" t="s">
        <v>119</v>
      </c>
      <c r="W24" s="29" t="s">
        <v>119</v>
      </c>
      <c r="X24" s="26"/>
    </row>
    <row r="25" spans="1:24" x14ac:dyDescent="0.2">
      <c r="A25" s="19" t="s">
        <v>141</v>
      </c>
      <c r="B25" s="20" t="s">
        <v>142</v>
      </c>
      <c r="C25" s="31" t="s">
        <v>137</v>
      </c>
      <c r="D25" s="22" t="s">
        <v>85</v>
      </c>
      <c r="E25" s="23">
        <v>7158</v>
      </c>
      <c r="F25" s="23">
        <v>0</v>
      </c>
      <c r="G25" s="24">
        <f t="shared" si="0"/>
        <v>7158</v>
      </c>
      <c r="H25" s="23">
        <v>2206</v>
      </c>
      <c r="I25" s="24">
        <f t="shared" si="1"/>
        <v>4952</v>
      </c>
      <c r="J25" s="23">
        <v>2260</v>
      </c>
      <c r="K25" s="23">
        <v>1136</v>
      </c>
      <c r="L25" s="24">
        <f t="shared" si="2"/>
        <v>3396</v>
      </c>
      <c r="M25" s="23">
        <v>352</v>
      </c>
      <c r="N25" s="23">
        <v>2926</v>
      </c>
      <c r="O25" s="23">
        <v>1254</v>
      </c>
      <c r="P25" s="24">
        <f t="shared" si="3"/>
        <v>1672</v>
      </c>
      <c r="Q25" s="23">
        <v>579</v>
      </c>
      <c r="R25" s="23">
        <v>1007</v>
      </c>
      <c r="S25" s="23">
        <v>10505</v>
      </c>
      <c r="T25" s="23">
        <v>90</v>
      </c>
      <c r="U25" s="25">
        <v>0.27046866177300999</v>
      </c>
      <c r="V25" s="29" t="s">
        <v>119</v>
      </c>
      <c r="W25" s="29" t="s">
        <v>119</v>
      </c>
      <c r="X25" s="26"/>
    </row>
    <row r="27" spans="1:24" ht="15.75" customHeight="1" x14ac:dyDescent="0.2">
      <c r="A27" s="11" t="s">
        <v>143</v>
      </c>
      <c r="B27" s="5" t="s">
        <v>144</v>
      </c>
      <c r="C27" s="5"/>
      <c r="D27" s="5"/>
      <c r="E27" s="5"/>
      <c r="F27" s="5"/>
      <c r="G27" s="5"/>
      <c r="H27" s="5"/>
      <c r="I27" s="5"/>
      <c r="J27" s="5"/>
      <c r="K27" s="5"/>
      <c r="L27" s="5"/>
      <c r="M27" s="5"/>
      <c r="N27" s="5"/>
      <c r="O27" s="5"/>
      <c r="P27" s="5"/>
      <c r="Q27" s="5"/>
      <c r="R27" s="5"/>
      <c r="S27" s="5"/>
      <c r="T27" s="5"/>
      <c r="U27" s="5"/>
      <c r="V27" s="5"/>
      <c r="W27" s="5"/>
      <c r="X27" s="5"/>
    </row>
    <row r="28" spans="1:24" x14ac:dyDescent="0.2">
      <c r="B28" s="5"/>
      <c r="C28" s="5"/>
      <c r="D28" s="5"/>
      <c r="E28" s="5"/>
      <c r="F28" s="5"/>
      <c r="G28" s="5"/>
      <c r="H28" s="5"/>
      <c r="I28" s="5"/>
      <c r="J28" s="5"/>
      <c r="K28" s="5"/>
      <c r="L28" s="5"/>
      <c r="M28" s="5"/>
      <c r="N28" s="5"/>
      <c r="O28" s="5"/>
      <c r="P28" s="5"/>
      <c r="Q28" s="5"/>
      <c r="R28" s="5"/>
      <c r="S28" s="5"/>
      <c r="T28" s="5"/>
      <c r="U28" s="5"/>
      <c r="V28" s="5"/>
      <c r="W28" s="5"/>
      <c r="X28" s="5"/>
    </row>
    <row r="29" spans="1:24" x14ac:dyDescent="0.2">
      <c r="B29" s="5"/>
      <c r="C29" s="5"/>
      <c r="D29" s="5"/>
      <c r="E29" s="5"/>
      <c r="F29" s="5"/>
      <c r="G29" s="5"/>
      <c r="H29" s="5"/>
      <c r="I29" s="5"/>
      <c r="J29" s="5"/>
      <c r="K29" s="5"/>
      <c r="L29" s="5"/>
      <c r="M29" s="5"/>
      <c r="N29" s="5"/>
      <c r="O29" s="5"/>
      <c r="P29" s="5"/>
      <c r="Q29" s="5"/>
      <c r="R29" s="5"/>
      <c r="S29" s="5"/>
      <c r="T29" s="5"/>
      <c r="U29" s="5"/>
      <c r="V29" s="5"/>
      <c r="W29" s="5"/>
      <c r="X29" s="5"/>
    </row>
  </sheetData>
  <mergeCells count="1">
    <mergeCell ref="B27:X2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29"/>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x14ac:dyDescent="0.2"/>
  <cols>
    <col min="1" max="1" width="10" customWidth="1"/>
    <col min="2" max="2" width="23" customWidth="1"/>
    <col min="3" max="3" width="12" customWidth="1"/>
    <col min="4" max="4" width="16" customWidth="1"/>
    <col min="5" max="5" width="15" customWidth="1"/>
    <col min="6" max="6" width="18" customWidth="1"/>
    <col min="7" max="7" width="16" customWidth="1"/>
    <col min="8" max="9" width="14" customWidth="1"/>
    <col min="10" max="10" width="16" customWidth="1"/>
    <col min="11" max="11" width="14" customWidth="1"/>
    <col min="12" max="12" width="13" customWidth="1"/>
  </cols>
  <sheetData>
    <row r="2" spans="1:13" ht="18" x14ac:dyDescent="0.2">
      <c r="A2" s="6" t="s">
        <v>145</v>
      </c>
    </row>
    <row r="3" spans="1:13" x14ac:dyDescent="0.2">
      <c r="A3" s="7" t="s">
        <v>146</v>
      </c>
    </row>
    <row r="5" spans="1:13" ht="33.75" customHeight="1" x14ac:dyDescent="0.2">
      <c r="A5" s="18" t="s">
        <v>58</v>
      </c>
      <c r="B5" s="18" t="s">
        <v>59</v>
      </c>
      <c r="C5" s="18" t="s">
        <v>60</v>
      </c>
      <c r="D5" s="18" t="s">
        <v>147</v>
      </c>
      <c r="E5" s="18" t="s">
        <v>148</v>
      </c>
      <c r="F5" s="18" t="s">
        <v>149</v>
      </c>
      <c r="G5" s="18" t="s">
        <v>150</v>
      </c>
      <c r="H5" s="18" t="s">
        <v>151</v>
      </c>
      <c r="I5" s="18" t="s">
        <v>152</v>
      </c>
      <c r="J5" s="18" t="s">
        <v>153</v>
      </c>
      <c r="K5" s="18" t="s">
        <v>154</v>
      </c>
      <c r="L5" s="18" t="s">
        <v>155</v>
      </c>
    </row>
    <row r="6" spans="1:13" x14ac:dyDescent="0.2">
      <c r="A6" s="19" t="s">
        <v>82</v>
      </c>
      <c r="B6" s="20" t="s">
        <v>83</v>
      </c>
      <c r="C6" s="21" t="s">
        <v>84</v>
      </c>
      <c r="D6" s="23">
        <v>6834</v>
      </c>
      <c r="E6" s="23">
        <v>2659</v>
      </c>
      <c r="F6" s="23">
        <v>8847</v>
      </c>
      <c r="G6" s="23">
        <v>12518</v>
      </c>
      <c r="H6" s="23">
        <v>0</v>
      </c>
      <c r="I6" s="23">
        <v>0</v>
      </c>
      <c r="J6" s="23">
        <v>3006</v>
      </c>
      <c r="K6" s="23">
        <v>0</v>
      </c>
      <c r="L6" s="24">
        <f>Input_Finanzen!L6+IF(K6="",0,K6)-IF(I6="",0,I6)+IF(J6="",0,J6)</f>
        <v>70870</v>
      </c>
      <c r="M6" s="32" t="s">
        <v>156</v>
      </c>
    </row>
    <row r="7" spans="1:13" x14ac:dyDescent="0.2">
      <c r="A7" s="19" t="s">
        <v>87</v>
      </c>
      <c r="B7" s="20" t="s">
        <v>88</v>
      </c>
      <c r="C7" s="21" t="s">
        <v>84</v>
      </c>
      <c r="D7" s="23">
        <v>5985</v>
      </c>
      <c r="E7" s="23">
        <v>1445</v>
      </c>
      <c r="F7" s="23">
        <v>4111</v>
      </c>
      <c r="G7" s="23">
        <v>14988</v>
      </c>
      <c r="H7" s="23">
        <v>0</v>
      </c>
      <c r="I7" s="23">
        <v>3000</v>
      </c>
      <c r="J7" s="23">
        <v>5282</v>
      </c>
      <c r="K7" s="23">
        <v>133</v>
      </c>
      <c r="L7" s="24">
        <f>Input_Finanzen!L7+IF(K7="",0,K7)-IF(I7="",0,I7)+IF(J7="",0,J7)</f>
        <v>43507</v>
      </c>
      <c r="M7" s="32" t="s">
        <v>157</v>
      </c>
    </row>
    <row r="8" spans="1:13" x14ac:dyDescent="0.2">
      <c r="A8" s="19" t="s">
        <v>90</v>
      </c>
      <c r="B8" s="20" t="s">
        <v>91</v>
      </c>
      <c r="C8" s="27" t="s">
        <v>92</v>
      </c>
      <c r="D8" s="23">
        <v>950</v>
      </c>
      <c r="E8" s="23">
        <v>904</v>
      </c>
      <c r="F8" s="23">
        <v>969</v>
      </c>
      <c r="G8" s="23">
        <v>8364</v>
      </c>
      <c r="H8" s="23">
        <v>0</v>
      </c>
      <c r="I8" s="23">
        <v>1335</v>
      </c>
      <c r="J8" s="23">
        <v>1531</v>
      </c>
      <c r="K8" s="23">
        <v>26</v>
      </c>
      <c r="L8" s="24">
        <f>Input_Finanzen!L8+IF(K8="",0,K8)-IF(I8="",0,I8)+IF(J8="",0,J8)</f>
        <v>25554</v>
      </c>
      <c r="M8" s="32" t="s">
        <v>158</v>
      </c>
    </row>
    <row r="9" spans="1:13" x14ac:dyDescent="0.2">
      <c r="A9" s="19" t="s">
        <v>95</v>
      </c>
      <c r="B9" s="20" t="s">
        <v>96</v>
      </c>
      <c r="C9" s="27" t="s">
        <v>92</v>
      </c>
      <c r="D9" s="23">
        <v>1199</v>
      </c>
      <c r="E9" s="23">
        <v>117</v>
      </c>
      <c r="F9" s="23">
        <v>0</v>
      </c>
      <c r="G9" s="23">
        <v>1570</v>
      </c>
      <c r="H9" s="23">
        <v>0</v>
      </c>
      <c r="I9" s="23">
        <v>0</v>
      </c>
      <c r="J9" s="23">
        <v>0</v>
      </c>
      <c r="K9" s="23">
        <v>843</v>
      </c>
      <c r="L9" s="24">
        <f>Input_Finanzen!L9+IF(K9="",0,K9)-IF(I9="",0,I9)+IF(J9="",0,J9)</f>
        <v>11689</v>
      </c>
      <c r="M9" s="32" t="s">
        <v>159</v>
      </c>
    </row>
    <row r="10" spans="1:13" x14ac:dyDescent="0.2">
      <c r="A10" s="19" t="s">
        <v>98</v>
      </c>
      <c r="B10" s="20" t="s">
        <v>99</v>
      </c>
      <c r="C10" s="27" t="s">
        <v>92</v>
      </c>
      <c r="D10" s="23">
        <v>955</v>
      </c>
      <c r="E10" s="23">
        <v>999</v>
      </c>
      <c r="F10" s="23">
        <v>985</v>
      </c>
      <c r="G10" s="23">
        <v>4553</v>
      </c>
      <c r="H10" s="23">
        <v>8287</v>
      </c>
      <c r="I10" s="23">
        <v>76</v>
      </c>
      <c r="J10" s="23">
        <v>705</v>
      </c>
      <c r="K10" s="23">
        <v>109</v>
      </c>
      <c r="L10" s="24">
        <f>Input_Finanzen!L10+IF(K10="",0,K10)-IF(I10="",0,I10)+IF(J10="",0,J10)</f>
        <v>12478</v>
      </c>
      <c r="M10" s="32" t="s">
        <v>160</v>
      </c>
    </row>
    <row r="11" spans="1:13" x14ac:dyDescent="0.2">
      <c r="A11" s="19" t="s">
        <v>101</v>
      </c>
      <c r="B11" s="20" t="s">
        <v>102</v>
      </c>
      <c r="C11" s="27" t="s">
        <v>92</v>
      </c>
      <c r="D11" s="23">
        <v>0</v>
      </c>
      <c r="E11" s="23">
        <v>0</v>
      </c>
      <c r="F11" s="23">
        <v>0</v>
      </c>
      <c r="G11" s="23">
        <v>542</v>
      </c>
      <c r="H11" s="23">
        <v>0</v>
      </c>
      <c r="I11" s="23">
        <v>0</v>
      </c>
      <c r="J11" s="23">
        <v>0</v>
      </c>
      <c r="K11" s="23">
        <v>3652</v>
      </c>
      <c r="L11" s="24">
        <f>Input_Finanzen!L11+IF(K11="",0,K11)-IF(I11="",0,I11)+IF(J11="",0,J11)</f>
        <v>9956</v>
      </c>
      <c r="M11" s="32" t="s">
        <v>161</v>
      </c>
    </row>
    <row r="12" spans="1:13" x14ac:dyDescent="0.2">
      <c r="A12" s="19" t="s">
        <v>104</v>
      </c>
      <c r="B12" s="20" t="s">
        <v>105</v>
      </c>
      <c r="C12" s="27" t="s">
        <v>92</v>
      </c>
      <c r="D12" s="23">
        <v>99</v>
      </c>
      <c r="E12" s="23">
        <v>0</v>
      </c>
      <c r="F12" s="23">
        <v>0</v>
      </c>
      <c r="G12" s="23">
        <v>724</v>
      </c>
      <c r="H12" s="23">
        <v>0</v>
      </c>
      <c r="I12" s="23">
        <v>0</v>
      </c>
      <c r="J12" s="23">
        <v>0</v>
      </c>
      <c r="K12" s="23">
        <v>37</v>
      </c>
      <c r="L12" s="24">
        <f>Input_Finanzen!L12+IF(K12="",0,K12)-IF(I12="",0,I12)+IF(J12="",0,J12)</f>
        <v>5488</v>
      </c>
      <c r="M12" s="32" t="s">
        <v>161</v>
      </c>
    </row>
    <row r="13" spans="1:13" x14ac:dyDescent="0.2">
      <c r="A13" s="19" t="s">
        <v>107</v>
      </c>
      <c r="B13" s="20" t="s">
        <v>108</v>
      </c>
      <c r="C13" s="27" t="s">
        <v>92</v>
      </c>
      <c r="D13" s="23">
        <v>78.400000000000006</v>
      </c>
      <c r="E13" s="23">
        <v>37.1</v>
      </c>
      <c r="F13" s="23">
        <v>0</v>
      </c>
      <c r="G13" s="23">
        <v>1019.5</v>
      </c>
      <c r="H13" s="23">
        <v>0</v>
      </c>
      <c r="I13" s="23">
        <v>0</v>
      </c>
      <c r="J13" s="23">
        <v>257.2</v>
      </c>
      <c r="K13" s="23">
        <v>51.2</v>
      </c>
      <c r="L13" s="24">
        <f>Input_Finanzen!L13+IF(K13="",0,K13)-IF(I13="",0,I13)+IF(J13="",0,J13)</f>
        <v>6158.4</v>
      </c>
      <c r="M13" s="32" t="s">
        <v>162</v>
      </c>
    </row>
    <row r="14" spans="1:13" x14ac:dyDescent="0.2">
      <c r="A14" s="19" t="s">
        <v>110</v>
      </c>
      <c r="B14" s="20" t="s">
        <v>111</v>
      </c>
      <c r="C14" s="27" t="s">
        <v>92</v>
      </c>
      <c r="D14" s="23">
        <v>276</v>
      </c>
      <c r="E14" s="23">
        <v>23</v>
      </c>
      <c r="F14" s="23">
        <v>169</v>
      </c>
      <c r="G14" s="23">
        <v>906</v>
      </c>
      <c r="H14" s="23">
        <v>0</v>
      </c>
      <c r="I14" s="23">
        <v>0</v>
      </c>
      <c r="J14" s="23">
        <v>0</v>
      </c>
      <c r="K14" s="23">
        <v>254</v>
      </c>
      <c r="L14" s="24">
        <f>Input_Finanzen!L14+IF(K14="",0,K14)-IF(I14="",0,I14)+IF(J14="",0,J14)</f>
        <v>7812</v>
      </c>
      <c r="M14" s="32" t="s">
        <v>163</v>
      </c>
    </row>
    <row r="15" spans="1:13" x14ac:dyDescent="0.2">
      <c r="A15" s="19" t="s">
        <v>113</v>
      </c>
      <c r="B15" s="20" t="s">
        <v>114</v>
      </c>
      <c r="C15" s="27" t="s">
        <v>92</v>
      </c>
      <c r="D15" s="23">
        <v>188</v>
      </c>
      <c r="E15" s="23">
        <v>0</v>
      </c>
      <c r="F15" s="23">
        <v>10</v>
      </c>
      <c r="G15" s="23">
        <v>343</v>
      </c>
      <c r="H15" s="23">
        <v>8</v>
      </c>
      <c r="I15" s="23">
        <v>0</v>
      </c>
      <c r="J15" s="23">
        <v>0</v>
      </c>
      <c r="K15" s="23">
        <v>0</v>
      </c>
      <c r="L15" s="24">
        <f>Input_Finanzen!L15+IF(K15="",0,K15)-IF(I15="",0,I15)+IF(J15="",0,J15)</f>
        <v>4822</v>
      </c>
      <c r="M15" s="32" t="s">
        <v>164</v>
      </c>
    </row>
    <row r="16" spans="1:13" x14ac:dyDescent="0.2">
      <c r="A16" s="19" t="s">
        <v>116</v>
      </c>
      <c r="B16" s="20" t="s">
        <v>117</v>
      </c>
      <c r="C16" s="28" t="s">
        <v>118</v>
      </c>
      <c r="D16" s="23">
        <v>183</v>
      </c>
      <c r="E16" s="23">
        <v>0</v>
      </c>
      <c r="F16" s="23">
        <v>0</v>
      </c>
      <c r="G16" s="23">
        <v>2587</v>
      </c>
      <c r="H16" s="23">
        <v>35</v>
      </c>
      <c r="I16" s="23">
        <v>760</v>
      </c>
      <c r="J16" s="23">
        <v>800</v>
      </c>
      <c r="K16" s="23">
        <v>212</v>
      </c>
      <c r="L16" s="24">
        <f>Input_Finanzen!L16+IF(K16="",0,K16)-IF(I16="",0,I16)+IF(J16="",0,J16)</f>
        <v>6795</v>
      </c>
      <c r="M16" s="32" t="s">
        <v>165</v>
      </c>
    </row>
    <row r="17" spans="1:13" x14ac:dyDescent="0.2">
      <c r="A17" s="19" t="s">
        <v>121</v>
      </c>
      <c r="B17" s="20" t="s">
        <v>122</v>
      </c>
      <c r="C17" s="28" t="s">
        <v>118</v>
      </c>
      <c r="D17" s="23">
        <v>216</v>
      </c>
      <c r="E17" s="23">
        <v>0</v>
      </c>
      <c r="F17" s="23">
        <v>0</v>
      </c>
      <c r="G17" s="23">
        <v>255</v>
      </c>
      <c r="H17" s="23">
        <v>0</v>
      </c>
      <c r="I17" s="23">
        <v>896</v>
      </c>
      <c r="J17" s="23">
        <v>805</v>
      </c>
      <c r="K17" s="23">
        <v>6</v>
      </c>
      <c r="L17" s="24">
        <f>Input_Finanzen!L17+IF(K17="",0,K17)-IF(I17="",0,I17)+IF(J17="",0,J17)</f>
        <v>7092</v>
      </c>
      <c r="M17" s="32" t="s">
        <v>166</v>
      </c>
    </row>
    <row r="18" spans="1:13" x14ac:dyDescent="0.2">
      <c r="A18" s="19" t="s">
        <v>123</v>
      </c>
      <c r="B18" s="20" t="s">
        <v>124</v>
      </c>
      <c r="C18" s="28" t="s">
        <v>118</v>
      </c>
      <c r="D18" s="23">
        <v>237</v>
      </c>
      <c r="E18" s="23">
        <v>0</v>
      </c>
      <c r="F18" s="23">
        <v>0</v>
      </c>
      <c r="G18" s="23">
        <v>0</v>
      </c>
      <c r="H18" s="23">
        <v>0</v>
      </c>
      <c r="I18" s="23">
        <v>386</v>
      </c>
      <c r="J18" s="23">
        <v>397</v>
      </c>
      <c r="K18" s="23">
        <v>0</v>
      </c>
      <c r="L18" s="24">
        <f>Input_Finanzen!L18+IF(K18="",0,K18)-IF(I18="",0,I18)+IF(J18="",0,J18)</f>
        <v>7266</v>
      </c>
      <c r="M18" s="32" t="s">
        <v>167</v>
      </c>
    </row>
    <row r="19" spans="1:13" x14ac:dyDescent="0.2">
      <c r="A19" s="19" t="s">
        <v>125</v>
      </c>
      <c r="B19" s="20" t="s">
        <v>126</v>
      </c>
      <c r="C19" s="28" t="s">
        <v>118</v>
      </c>
      <c r="D19" s="23">
        <v>113.8</v>
      </c>
      <c r="E19" s="23">
        <v>353.5</v>
      </c>
      <c r="F19" s="23">
        <v>0</v>
      </c>
      <c r="G19" s="23">
        <v>185.4</v>
      </c>
      <c r="H19" s="23">
        <v>0</v>
      </c>
      <c r="I19" s="23">
        <v>11.8</v>
      </c>
      <c r="J19" s="23">
        <v>20.7</v>
      </c>
      <c r="K19" s="23">
        <v>0</v>
      </c>
      <c r="L19" s="24">
        <f>Input_Finanzen!L19+IF(K19="",0,K19)-IF(I19="",0,I19)+IF(J19="",0,J19)</f>
        <v>4855.3999999999996</v>
      </c>
      <c r="M19" s="32" t="s">
        <v>168</v>
      </c>
    </row>
    <row r="20" spans="1:13" x14ac:dyDescent="0.2">
      <c r="A20" s="19" t="s">
        <v>128</v>
      </c>
      <c r="B20" s="20" t="s">
        <v>129</v>
      </c>
      <c r="C20" s="30" t="s">
        <v>130</v>
      </c>
      <c r="D20" s="23">
        <v>1482</v>
      </c>
      <c r="E20" s="23">
        <v>695</v>
      </c>
      <c r="F20" s="23">
        <v>1173</v>
      </c>
      <c r="G20" s="23">
        <v>262</v>
      </c>
      <c r="H20" s="23">
        <v>0</v>
      </c>
      <c r="I20" s="23">
        <v>1622</v>
      </c>
      <c r="J20" s="23">
        <v>1255</v>
      </c>
      <c r="K20" s="23">
        <v>0</v>
      </c>
      <c r="L20" s="24">
        <f>Input_Finanzen!L20+IF(K20="",0,K20)-IF(I20="",0,I20)+IF(J20="",0,J20)</f>
        <v>11175</v>
      </c>
      <c r="M20" s="32" t="s">
        <v>157</v>
      </c>
    </row>
    <row r="21" spans="1:13" x14ac:dyDescent="0.2">
      <c r="A21" s="19" t="s">
        <v>131</v>
      </c>
      <c r="B21" s="20" t="s">
        <v>132</v>
      </c>
      <c r="C21" s="30" t="s">
        <v>130</v>
      </c>
      <c r="D21" s="23">
        <v>1870</v>
      </c>
      <c r="E21" s="23">
        <v>338</v>
      </c>
      <c r="F21" s="23">
        <v>573</v>
      </c>
      <c r="G21" s="23">
        <v>721</v>
      </c>
      <c r="H21" s="23">
        <v>0</v>
      </c>
      <c r="I21" s="23">
        <v>762</v>
      </c>
      <c r="J21" s="23">
        <v>90</v>
      </c>
      <c r="K21" s="23">
        <v>1060</v>
      </c>
      <c r="L21" s="24">
        <f>Input_Finanzen!L21+IF(K21="",0,K21)-IF(I21="",0,I21)+IF(J21="",0,J21)</f>
        <v>10056</v>
      </c>
      <c r="M21" s="32" t="s">
        <v>169</v>
      </c>
    </row>
    <row r="22" spans="1:13" x14ac:dyDescent="0.2">
      <c r="A22" s="19" t="s">
        <v>133</v>
      </c>
      <c r="B22" s="20" t="s">
        <v>134</v>
      </c>
      <c r="C22" s="30" t="s">
        <v>130</v>
      </c>
      <c r="D22" s="23">
        <v>1084</v>
      </c>
      <c r="E22" s="23">
        <v>2358</v>
      </c>
      <c r="F22" s="23">
        <v>423</v>
      </c>
      <c r="G22" s="23">
        <v>382</v>
      </c>
      <c r="H22" s="23">
        <v>0</v>
      </c>
      <c r="I22" s="23">
        <v>0</v>
      </c>
      <c r="J22" s="23">
        <v>0</v>
      </c>
      <c r="K22" s="23">
        <v>1131</v>
      </c>
      <c r="L22" s="24">
        <f>Input_Finanzen!L22+IF(K22="",0,K22)-IF(I22="",0,I22)+IF(J22="",0,J22)</f>
        <v>7470</v>
      </c>
      <c r="M22" s="32" t="s">
        <v>170</v>
      </c>
    </row>
    <row r="23" spans="1:13" x14ac:dyDescent="0.2">
      <c r="A23" s="19" t="s">
        <v>135</v>
      </c>
      <c r="B23" s="20" t="s">
        <v>136</v>
      </c>
      <c r="C23" s="31" t="s">
        <v>137</v>
      </c>
      <c r="D23" s="23">
        <v>905</v>
      </c>
      <c r="E23" s="23">
        <v>0</v>
      </c>
      <c r="F23" s="23">
        <v>479</v>
      </c>
      <c r="G23" s="23">
        <v>0</v>
      </c>
      <c r="H23" s="23">
        <v>0</v>
      </c>
      <c r="I23" s="23">
        <v>59</v>
      </c>
      <c r="J23" s="23">
        <v>0</v>
      </c>
      <c r="K23" s="23">
        <v>331</v>
      </c>
      <c r="L23" s="24">
        <f>Input_Finanzen!L23+IF(K23="",0,K23)-IF(I23="",0,I23)+IF(J23="",0,J23)</f>
        <v>7764</v>
      </c>
      <c r="M23" s="32" t="s">
        <v>171</v>
      </c>
    </row>
    <row r="24" spans="1:13" x14ac:dyDescent="0.2">
      <c r="A24" s="19" t="s">
        <v>139</v>
      </c>
      <c r="B24" s="20" t="s">
        <v>140</v>
      </c>
      <c r="C24" s="31" t="s">
        <v>137</v>
      </c>
      <c r="D24" s="23">
        <v>615</v>
      </c>
      <c r="E24" s="23">
        <v>0</v>
      </c>
      <c r="F24" s="23">
        <v>1066</v>
      </c>
      <c r="G24" s="23">
        <v>0</v>
      </c>
      <c r="H24" s="23">
        <v>0</v>
      </c>
      <c r="I24" s="23">
        <v>0</v>
      </c>
      <c r="J24" s="23">
        <v>0</v>
      </c>
      <c r="K24" s="23">
        <v>22</v>
      </c>
      <c r="L24" s="24">
        <f>Input_Finanzen!L24+IF(K24="",0,K24)-IF(I24="",0,I24)+IF(J24="",0,J24)</f>
        <v>4309</v>
      </c>
      <c r="M24" s="32" t="s">
        <v>172</v>
      </c>
    </row>
    <row r="25" spans="1:13" x14ac:dyDescent="0.2">
      <c r="A25" s="19" t="s">
        <v>141</v>
      </c>
      <c r="B25" s="20" t="s">
        <v>142</v>
      </c>
      <c r="C25" s="31" t="s">
        <v>137</v>
      </c>
      <c r="D25" s="23">
        <v>975</v>
      </c>
      <c r="E25" s="23">
        <v>183</v>
      </c>
      <c r="F25" s="23">
        <v>0</v>
      </c>
      <c r="G25" s="23">
        <v>0</v>
      </c>
      <c r="H25" s="23">
        <v>0</v>
      </c>
      <c r="I25" s="23">
        <v>-50</v>
      </c>
      <c r="J25" s="23">
        <v>0</v>
      </c>
      <c r="K25" s="23">
        <v>0</v>
      </c>
      <c r="L25" s="24">
        <f>Input_Finanzen!L25+IF(K25="",0,K25)-IF(I25="",0,I25)+IF(J25="",0,J25)</f>
        <v>3446</v>
      </c>
      <c r="M25" s="32" t="s">
        <v>173</v>
      </c>
    </row>
    <row r="27" spans="1:13" ht="15.75" customHeight="1" x14ac:dyDescent="0.2">
      <c r="A27" s="11" t="s">
        <v>143</v>
      </c>
      <c r="B27" s="5" t="s">
        <v>174</v>
      </c>
      <c r="C27" s="5"/>
      <c r="D27" s="5"/>
      <c r="E27" s="5"/>
      <c r="F27" s="5"/>
      <c r="G27" s="5"/>
      <c r="H27" s="5"/>
      <c r="I27" s="5"/>
      <c r="J27" s="5"/>
      <c r="K27" s="5"/>
      <c r="L27" s="5"/>
      <c r="M27" s="5"/>
    </row>
    <row r="28" spans="1:13" x14ac:dyDescent="0.2">
      <c r="B28" s="5"/>
      <c r="C28" s="5"/>
      <c r="D28" s="5"/>
      <c r="E28" s="5"/>
      <c r="F28" s="5"/>
      <c r="G28" s="5"/>
      <c r="H28" s="5"/>
      <c r="I28" s="5"/>
      <c r="J28" s="5"/>
      <c r="K28" s="5"/>
      <c r="L28" s="5"/>
      <c r="M28" s="5"/>
    </row>
    <row r="29" spans="1:13" x14ac:dyDescent="0.2">
      <c r="B29" s="5"/>
      <c r="C29" s="5"/>
      <c r="D29" s="5"/>
      <c r="E29" s="5"/>
      <c r="F29" s="5"/>
      <c r="G29" s="5"/>
      <c r="H29" s="5"/>
      <c r="I29" s="5"/>
      <c r="J29" s="5"/>
      <c r="K29" s="5"/>
      <c r="L29" s="5"/>
      <c r="M29" s="5"/>
    </row>
  </sheetData>
  <mergeCells count="1">
    <mergeCell ref="B27:M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25"/>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baseColWidth="10" defaultColWidth="8.6640625" defaultRowHeight="15" x14ac:dyDescent="0.2"/>
  <cols>
    <col min="1" max="1" width="10" customWidth="1"/>
    <col min="2" max="2" width="23" customWidth="1"/>
    <col min="3" max="3" width="12" customWidth="1"/>
    <col min="4" max="4" width="7" customWidth="1"/>
    <col min="5" max="10" width="11" customWidth="1"/>
    <col min="11" max="11" width="40" customWidth="1"/>
  </cols>
  <sheetData>
    <row r="2" spans="1:11" ht="18" x14ac:dyDescent="0.2">
      <c r="A2" s="6" t="s">
        <v>175</v>
      </c>
    </row>
    <row r="3" spans="1:11" x14ac:dyDescent="0.2">
      <c r="A3" s="7" t="s">
        <v>176</v>
      </c>
    </row>
    <row r="5" spans="1:11" ht="33.75" customHeight="1" x14ac:dyDescent="0.2">
      <c r="A5" s="18" t="s">
        <v>58</v>
      </c>
      <c r="B5" s="18" t="s">
        <v>59</v>
      </c>
      <c r="C5" s="18" t="s">
        <v>60</v>
      </c>
      <c r="D5" s="18" t="s">
        <v>61</v>
      </c>
      <c r="E5" s="18" t="s">
        <v>177</v>
      </c>
      <c r="F5" s="18" t="s">
        <v>178</v>
      </c>
      <c r="G5" s="18" t="s">
        <v>179</v>
      </c>
      <c r="H5" s="18" t="s">
        <v>178</v>
      </c>
      <c r="I5" s="18" t="s">
        <v>180</v>
      </c>
      <c r="J5" s="18" t="s">
        <v>178</v>
      </c>
      <c r="K5" s="18" t="s">
        <v>181</v>
      </c>
    </row>
    <row r="6" spans="1:11" x14ac:dyDescent="0.2">
      <c r="A6" s="19" t="s">
        <v>82</v>
      </c>
      <c r="B6" s="20" t="s">
        <v>83</v>
      </c>
      <c r="C6" s="21" t="s">
        <v>84</v>
      </c>
      <c r="D6" s="22" t="s">
        <v>85</v>
      </c>
      <c r="E6" s="33" t="s">
        <v>182</v>
      </c>
      <c r="F6" s="33" t="s">
        <v>183</v>
      </c>
      <c r="G6" s="33" t="s">
        <v>184</v>
      </c>
      <c r="H6" s="33" t="s">
        <v>185</v>
      </c>
      <c r="I6" s="33" t="s">
        <v>186</v>
      </c>
      <c r="J6" s="33"/>
      <c r="K6" s="32" t="s">
        <v>187</v>
      </c>
    </row>
    <row r="7" spans="1:11" x14ac:dyDescent="0.2">
      <c r="A7" s="19" t="s">
        <v>87</v>
      </c>
      <c r="B7" s="20" t="s">
        <v>88</v>
      </c>
      <c r="C7" s="21" t="s">
        <v>84</v>
      </c>
      <c r="D7" s="22" t="s">
        <v>85</v>
      </c>
      <c r="E7" s="33" t="s">
        <v>182</v>
      </c>
      <c r="F7" s="33" t="s">
        <v>183</v>
      </c>
      <c r="G7" s="33" t="s">
        <v>184</v>
      </c>
      <c r="H7" s="33" t="s">
        <v>183</v>
      </c>
      <c r="I7" s="33" t="s">
        <v>186</v>
      </c>
      <c r="J7" s="33"/>
      <c r="K7" s="34"/>
    </row>
    <row r="8" spans="1:11" x14ac:dyDescent="0.2">
      <c r="A8" s="19" t="s">
        <v>90</v>
      </c>
      <c r="B8" s="20" t="s">
        <v>91</v>
      </c>
      <c r="C8" s="27" t="s">
        <v>92</v>
      </c>
      <c r="D8" s="22" t="s">
        <v>85</v>
      </c>
      <c r="E8" s="33" t="s">
        <v>188</v>
      </c>
      <c r="F8" s="33" t="s">
        <v>183</v>
      </c>
      <c r="G8" s="33" t="s">
        <v>189</v>
      </c>
      <c r="H8" s="33" t="s">
        <v>183</v>
      </c>
      <c r="I8" s="33" t="s">
        <v>190</v>
      </c>
      <c r="J8" s="33" t="s">
        <v>183</v>
      </c>
      <c r="K8" s="32" t="s">
        <v>191</v>
      </c>
    </row>
    <row r="9" spans="1:11" x14ac:dyDescent="0.2">
      <c r="A9" s="19" t="s">
        <v>95</v>
      </c>
      <c r="B9" s="20" t="s">
        <v>96</v>
      </c>
      <c r="C9" s="27" t="s">
        <v>92</v>
      </c>
      <c r="D9" s="22" t="s">
        <v>192</v>
      </c>
      <c r="E9" s="33" t="s">
        <v>188</v>
      </c>
      <c r="F9" s="33" t="s">
        <v>183</v>
      </c>
      <c r="G9" s="33" t="s">
        <v>190</v>
      </c>
      <c r="H9" s="33" t="s">
        <v>183</v>
      </c>
      <c r="I9" s="33" t="s">
        <v>186</v>
      </c>
      <c r="J9" s="33"/>
      <c r="K9" s="32" t="s">
        <v>193</v>
      </c>
    </row>
    <row r="10" spans="1:11" x14ac:dyDescent="0.2">
      <c r="A10" s="19" t="s">
        <v>98</v>
      </c>
      <c r="B10" s="20" t="s">
        <v>99</v>
      </c>
      <c r="C10" s="27" t="s">
        <v>92</v>
      </c>
      <c r="D10" s="22" t="s">
        <v>192</v>
      </c>
      <c r="E10" s="33" t="s">
        <v>194</v>
      </c>
      <c r="F10" s="33" t="s">
        <v>183</v>
      </c>
      <c r="G10" s="33" t="s">
        <v>195</v>
      </c>
      <c r="H10" s="33" t="s">
        <v>185</v>
      </c>
      <c r="I10" s="33" t="s">
        <v>195</v>
      </c>
      <c r="J10" s="33" t="s">
        <v>183</v>
      </c>
      <c r="K10" s="34"/>
    </row>
    <row r="11" spans="1:11" x14ac:dyDescent="0.2">
      <c r="A11" s="19" t="s">
        <v>101</v>
      </c>
      <c r="B11" s="20" t="s">
        <v>102</v>
      </c>
      <c r="C11" s="27" t="s">
        <v>92</v>
      </c>
      <c r="D11" s="22" t="s">
        <v>192</v>
      </c>
      <c r="E11" s="33" t="s">
        <v>194</v>
      </c>
      <c r="F11" s="33" t="s">
        <v>185</v>
      </c>
      <c r="G11" s="33" t="s">
        <v>196</v>
      </c>
      <c r="H11" s="33" t="s">
        <v>183</v>
      </c>
      <c r="I11" s="33" t="s">
        <v>196</v>
      </c>
      <c r="J11" s="33" t="s">
        <v>183</v>
      </c>
      <c r="K11" s="32" t="s">
        <v>197</v>
      </c>
    </row>
    <row r="12" spans="1:11" x14ac:dyDescent="0.2">
      <c r="A12" s="19" t="s">
        <v>104</v>
      </c>
      <c r="B12" s="20" t="s">
        <v>105</v>
      </c>
      <c r="C12" s="27" t="s">
        <v>92</v>
      </c>
      <c r="D12" s="22" t="s">
        <v>85</v>
      </c>
      <c r="E12" s="33" t="s">
        <v>194</v>
      </c>
      <c r="F12" s="33" t="s">
        <v>183</v>
      </c>
      <c r="G12" s="33" t="s">
        <v>195</v>
      </c>
      <c r="H12" s="33" t="s">
        <v>183</v>
      </c>
      <c r="I12" s="33" t="s">
        <v>195</v>
      </c>
      <c r="J12" s="33" t="s">
        <v>183</v>
      </c>
      <c r="K12" s="34"/>
    </row>
    <row r="13" spans="1:11" x14ac:dyDescent="0.2">
      <c r="A13" s="19" t="s">
        <v>107</v>
      </c>
      <c r="B13" s="20" t="s">
        <v>108</v>
      </c>
      <c r="C13" s="27" t="s">
        <v>92</v>
      </c>
      <c r="D13" s="22" t="s">
        <v>192</v>
      </c>
      <c r="E13" s="33" t="s">
        <v>194</v>
      </c>
      <c r="F13" s="33" t="s">
        <v>185</v>
      </c>
      <c r="G13" s="33" t="s">
        <v>195</v>
      </c>
      <c r="H13" s="33" t="s">
        <v>185</v>
      </c>
      <c r="I13" s="33" t="s">
        <v>195</v>
      </c>
      <c r="J13" s="33" t="s">
        <v>185</v>
      </c>
      <c r="K13" s="34"/>
    </row>
    <row r="14" spans="1:11" x14ac:dyDescent="0.2">
      <c r="A14" s="19" t="s">
        <v>110</v>
      </c>
      <c r="B14" s="20" t="s">
        <v>111</v>
      </c>
      <c r="C14" s="27" t="s">
        <v>92</v>
      </c>
      <c r="D14" s="22" t="s">
        <v>192</v>
      </c>
      <c r="E14" s="33" t="s">
        <v>194</v>
      </c>
      <c r="F14" s="33" t="s">
        <v>183</v>
      </c>
      <c r="G14" s="33" t="s">
        <v>195</v>
      </c>
      <c r="H14" s="33" t="s">
        <v>183</v>
      </c>
      <c r="I14" s="33" t="s">
        <v>196</v>
      </c>
      <c r="J14" s="33" t="s">
        <v>183</v>
      </c>
      <c r="K14" s="34"/>
    </row>
    <row r="15" spans="1:11" x14ac:dyDescent="0.2">
      <c r="A15" s="19" t="s">
        <v>113</v>
      </c>
      <c r="B15" s="20" t="s">
        <v>114</v>
      </c>
      <c r="C15" s="27" t="s">
        <v>92</v>
      </c>
      <c r="D15" s="22" t="s">
        <v>192</v>
      </c>
      <c r="E15" s="33" t="s">
        <v>198</v>
      </c>
      <c r="F15" s="33" t="s">
        <v>183</v>
      </c>
      <c r="G15" s="33" t="s">
        <v>196</v>
      </c>
      <c r="H15" s="33" t="s">
        <v>183</v>
      </c>
      <c r="I15" s="33" t="s">
        <v>196</v>
      </c>
      <c r="J15" s="33" t="s">
        <v>183</v>
      </c>
      <c r="K15" s="34"/>
    </row>
    <row r="16" spans="1:11" x14ac:dyDescent="0.2">
      <c r="A16" s="19" t="s">
        <v>116</v>
      </c>
      <c r="B16" s="20" t="s">
        <v>117</v>
      </c>
      <c r="C16" s="28" t="s">
        <v>118</v>
      </c>
      <c r="D16" s="22" t="s">
        <v>192</v>
      </c>
      <c r="E16" s="33" t="s">
        <v>198</v>
      </c>
      <c r="F16" s="33" t="s">
        <v>183</v>
      </c>
      <c r="G16" s="33" t="s">
        <v>196</v>
      </c>
      <c r="H16" s="33" t="s">
        <v>183</v>
      </c>
      <c r="I16" s="33" t="s">
        <v>196</v>
      </c>
      <c r="J16" s="33" t="s">
        <v>183</v>
      </c>
      <c r="K16" s="34"/>
    </row>
    <row r="17" spans="1:11" x14ac:dyDescent="0.2">
      <c r="A17" s="19" t="s">
        <v>121</v>
      </c>
      <c r="B17" s="20" t="s">
        <v>122</v>
      </c>
      <c r="C17" s="28" t="s">
        <v>118</v>
      </c>
      <c r="D17" s="22" t="s">
        <v>85</v>
      </c>
      <c r="E17" s="33" t="s">
        <v>199</v>
      </c>
      <c r="F17" s="33" t="s">
        <v>183</v>
      </c>
      <c r="G17" s="33" t="s">
        <v>200</v>
      </c>
      <c r="H17" s="33" t="s">
        <v>183</v>
      </c>
      <c r="I17" s="33" t="s">
        <v>200</v>
      </c>
      <c r="J17" s="33" t="s">
        <v>183</v>
      </c>
      <c r="K17" s="32" t="s">
        <v>201</v>
      </c>
    </row>
    <row r="18" spans="1:11" x14ac:dyDescent="0.2">
      <c r="A18" s="19" t="s">
        <v>123</v>
      </c>
      <c r="B18" s="20" t="s">
        <v>124</v>
      </c>
      <c r="C18" s="28" t="s">
        <v>118</v>
      </c>
      <c r="D18" s="22" t="s">
        <v>192</v>
      </c>
      <c r="E18" s="33" t="s">
        <v>198</v>
      </c>
      <c r="F18" s="33" t="s">
        <v>183</v>
      </c>
      <c r="G18" s="33" t="s">
        <v>196</v>
      </c>
      <c r="H18" s="33" t="s">
        <v>183</v>
      </c>
      <c r="I18" s="33" t="s">
        <v>196</v>
      </c>
      <c r="J18" s="33" t="s">
        <v>183</v>
      </c>
      <c r="K18" s="34"/>
    </row>
    <row r="19" spans="1:11" x14ac:dyDescent="0.2">
      <c r="A19" s="19" t="s">
        <v>125</v>
      </c>
      <c r="B19" s="20" t="s">
        <v>126</v>
      </c>
      <c r="C19" s="28" t="s">
        <v>118</v>
      </c>
      <c r="D19" s="22" t="s">
        <v>192</v>
      </c>
      <c r="E19" s="33" t="s">
        <v>194</v>
      </c>
      <c r="F19" s="33" t="s">
        <v>185</v>
      </c>
      <c r="G19" s="33" t="s">
        <v>196</v>
      </c>
      <c r="H19" s="33" t="s">
        <v>183</v>
      </c>
      <c r="I19" s="33" t="s">
        <v>195</v>
      </c>
      <c r="J19" s="33" t="s">
        <v>185</v>
      </c>
      <c r="K19" s="34"/>
    </row>
    <row r="20" spans="1:11" x14ac:dyDescent="0.2">
      <c r="A20" s="19" t="s">
        <v>128</v>
      </c>
      <c r="B20" s="20" t="s">
        <v>129</v>
      </c>
      <c r="C20" s="30" t="s">
        <v>130</v>
      </c>
      <c r="D20" s="22" t="s">
        <v>192</v>
      </c>
      <c r="E20" s="33" t="s">
        <v>198</v>
      </c>
      <c r="F20" s="33" t="s">
        <v>183</v>
      </c>
      <c r="G20" s="33" t="s">
        <v>196</v>
      </c>
      <c r="H20" s="33" t="s">
        <v>183</v>
      </c>
      <c r="I20" s="33" t="s">
        <v>196</v>
      </c>
      <c r="J20" s="33" t="s">
        <v>183</v>
      </c>
      <c r="K20" s="34"/>
    </row>
    <row r="21" spans="1:11" x14ac:dyDescent="0.2">
      <c r="A21" s="19" t="s">
        <v>131</v>
      </c>
      <c r="B21" s="20" t="s">
        <v>132</v>
      </c>
      <c r="C21" s="30" t="s">
        <v>130</v>
      </c>
      <c r="D21" s="22" t="s">
        <v>192</v>
      </c>
      <c r="E21" s="33" t="s">
        <v>199</v>
      </c>
      <c r="F21" s="33" t="s">
        <v>183</v>
      </c>
      <c r="G21" s="33" t="s">
        <v>200</v>
      </c>
      <c r="H21" s="33" t="s">
        <v>183</v>
      </c>
      <c r="I21" s="33" t="s">
        <v>200</v>
      </c>
      <c r="J21" s="33" t="s">
        <v>183</v>
      </c>
      <c r="K21" s="34"/>
    </row>
    <row r="22" spans="1:11" x14ac:dyDescent="0.2">
      <c r="A22" s="19" t="s">
        <v>133</v>
      </c>
      <c r="B22" s="20" t="s">
        <v>134</v>
      </c>
      <c r="C22" s="30" t="s">
        <v>130</v>
      </c>
      <c r="D22" s="22" t="s">
        <v>192</v>
      </c>
      <c r="E22" s="33" t="s">
        <v>198</v>
      </c>
      <c r="F22" s="33" t="s">
        <v>183</v>
      </c>
      <c r="G22" s="33" t="s">
        <v>196</v>
      </c>
      <c r="H22" s="33" t="s">
        <v>183</v>
      </c>
      <c r="I22" s="33" t="s">
        <v>196</v>
      </c>
      <c r="J22" s="33" t="s">
        <v>183</v>
      </c>
      <c r="K22" s="34"/>
    </row>
    <row r="23" spans="1:11" x14ac:dyDescent="0.2">
      <c r="A23" s="19" t="s">
        <v>135</v>
      </c>
      <c r="B23" s="20" t="s">
        <v>136</v>
      </c>
      <c r="C23" s="31" t="s">
        <v>137</v>
      </c>
      <c r="D23" s="22" t="s">
        <v>192</v>
      </c>
      <c r="E23" s="33" t="s">
        <v>202</v>
      </c>
      <c r="F23" s="33" t="s">
        <v>183</v>
      </c>
      <c r="G23" s="33" t="s">
        <v>189</v>
      </c>
      <c r="H23" s="33" t="s">
        <v>183</v>
      </c>
      <c r="I23" s="33" t="s">
        <v>186</v>
      </c>
      <c r="J23" s="33"/>
      <c r="K23" s="32" t="s">
        <v>193</v>
      </c>
    </row>
    <row r="24" spans="1:11" x14ac:dyDescent="0.2">
      <c r="A24" s="19" t="s">
        <v>139</v>
      </c>
      <c r="B24" s="20" t="s">
        <v>140</v>
      </c>
      <c r="C24" s="31" t="s">
        <v>137</v>
      </c>
      <c r="D24" s="22" t="s">
        <v>192</v>
      </c>
      <c r="E24" s="33" t="s">
        <v>199</v>
      </c>
      <c r="F24" s="33" t="s">
        <v>183</v>
      </c>
      <c r="G24" s="33" t="s">
        <v>200</v>
      </c>
      <c r="H24" s="33" t="s">
        <v>183</v>
      </c>
      <c r="I24" s="33" t="s">
        <v>186</v>
      </c>
      <c r="J24" s="33"/>
      <c r="K24" s="32" t="s">
        <v>193</v>
      </c>
    </row>
    <row r="25" spans="1:11" x14ac:dyDescent="0.2">
      <c r="A25" s="19" t="s">
        <v>141</v>
      </c>
      <c r="B25" s="20" t="s">
        <v>142</v>
      </c>
      <c r="C25" s="31" t="s">
        <v>137</v>
      </c>
      <c r="D25" s="22" t="s">
        <v>192</v>
      </c>
      <c r="E25" s="33" t="s">
        <v>198</v>
      </c>
      <c r="F25" s="33" t="s">
        <v>183</v>
      </c>
      <c r="G25" s="33" t="s">
        <v>200</v>
      </c>
      <c r="H25" s="33" t="s">
        <v>185</v>
      </c>
      <c r="I25" s="33" t="s">
        <v>186</v>
      </c>
      <c r="J25" s="33"/>
      <c r="K25" s="32" t="s">
        <v>193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X37"/>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baseColWidth="10" defaultColWidth="8.6640625" defaultRowHeight="15" x14ac:dyDescent="0.2"/>
  <cols>
    <col min="1" max="1" width="10" customWidth="1"/>
    <col min="2" max="2" width="22" customWidth="1"/>
    <col min="3" max="3" width="11" customWidth="1"/>
    <col min="4" max="7" width="12" customWidth="1"/>
    <col min="8" max="8" width="11" customWidth="1"/>
    <col min="9" max="10" width="13" customWidth="1"/>
    <col min="11" max="13" width="12" customWidth="1"/>
    <col min="14" max="14" width="11" customWidth="1"/>
    <col min="15" max="15" width="12" customWidth="1"/>
    <col min="16" max="17" width="13" customWidth="1"/>
    <col min="18" max="19" width="11" customWidth="1"/>
    <col min="20" max="23" width="13" customWidth="1"/>
    <col min="24" max="24" width="11" customWidth="1"/>
  </cols>
  <sheetData>
    <row r="2" spans="1:24" ht="18" x14ac:dyDescent="0.2">
      <c r="A2" s="6" t="s">
        <v>203</v>
      </c>
    </row>
    <row r="3" spans="1:24" x14ac:dyDescent="0.2">
      <c r="A3" s="7" t="s">
        <v>204</v>
      </c>
    </row>
    <row r="4" spans="1:24" x14ac:dyDescent="0.2">
      <c r="A4" s="11" t="s">
        <v>205</v>
      </c>
      <c r="C4" s="15" t="s">
        <v>206</v>
      </c>
      <c r="E4" s="35">
        <v>0.25</v>
      </c>
      <c r="F4" s="15" t="s">
        <v>207</v>
      </c>
      <c r="H4" s="35">
        <v>0.5</v>
      </c>
      <c r="I4" s="15" t="s">
        <v>208</v>
      </c>
      <c r="K4" s="35">
        <v>1</v>
      </c>
    </row>
    <row r="5" spans="1:24" x14ac:dyDescent="0.2">
      <c r="F5" s="4" t="s">
        <v>209</v>
      </c>
      <c r="G5" s="4"/>
      <c r="H5" s="4"/>
      <c r="I5" s="4"/>
      <c r="J5" s="4"/>
      <c r="K5" s="3" t="s">
        <v>210</v>
      </c>
      <c r="L5" s="3"/>
      <c r="M5" s="3"/>
      <c r="N5" s="3"/>
      <c r="O5" s="3"/>
      <c r="P5" s="3"/>
      <c r="Q5" s="3"/>
      <c r="R5" s="2" t="s">
        <v>211</v>
      </c>
      <c r="S5" s="2"/>
      <c r="T5" s="2"/>
      <c r="U5" s="2"/>
      <c r="V5" s="2"/>
      <c r="W5" s="1" t="s">
        <v>212</v>
      </c>
      <c r="X5" s="1"/>
    </row>
    <row r="6" spans="1:24" ht="39.75" customHeight="1" x14ac:dyDescent="0.2">
      <c r="A6" s="18" t="s">
        <v>58</v>
      </c>
      <c r="B6" s="18" t="s">
        <v>59</v>
      </c>
      <c r="C6" s="18" t="s">
        <v>60</v>
      </c>
      <c r="D6" s="18" t="s">
        <v>213</v>
      </c>
      <c r="E6" s="18" t="s">
        <v>155</v>
      </c>
      <c r="F6" s="18" t="s">
        <v>214</v>
      </c>
      <c r="G6" s="18" t="s">
        <v>215</v>
      </c>
      <c r="H6" s="18" t="s">
        <v>216</v>
      </c>
      <c r="I6" s="18" t="s">
        <v>217</v>
      </c>
      <c r="J6" s="18" t="s">
        <v>218</v>
      </c>
      <c r="K6" s="18" t="s">
        <v>214</v>
      </c>
      <c r="L6" s="18" t="s">
        <v>215</v>
      </c>
      <c r="M6" s="18" t="s">
        <v>219</v>
      </c>
      <c r="N6" s="18" t="s">
        <v>216</v>
      </c>
      <c r="O6" s="18" t="s">
        <v>220</v>
      </c>
      <c r="P6" s="18" t="s">
        <v>221</v>
      </c>
      <c r="Q6" s="18" t="s">
        <v>222</v>
      </c>
      <c r="R6" s="18" t="s">
        <v>223</v>
      </c>
      <c r="S6" s="18" t="s">
        <v>216</v>
      </c>
      <c r="T6" s="18" t="s">
        <v>224</v>
      </c>
      <c r="U6" s="18" t="s">
        <v>225</v>
      </c>
      <c r="V6" s="18" t="s">
        <v>226</v>
      </c>
      <c r="W6" s="18" t="s">
        <v>227</v>
      </c>
      <c r="X6" s="18" t="s">
        <v>228</v>
      </c>
    </row>
    <row r="7" spans="1:24" x14ac:dyDescent="0.2">
      <c r="A7" s="19" t="s">
        <v>82</v>
      </c>
      <c r="B7" s="36" t="str">
        <f>Input_Finanzen!B6</f>
        <v>Exxon Mobil Corp.</v>
      </c>
      <c r="C7" s="21" t="s">
        <v>84</v>
      </c>
      <c r="D7" s="37">
        <f>Input_Finanzen!G6</f>
        <v>43537</v>
      </c>
      <c r="E7" s="37">
        <f>Input_Adjustments!L6</f>
        <v>70870</v>
      </c>
      <c r="F7" s="38">
        <f>IF(Input_Adjustments!D6="",0,Input_Adjustments!D6)</f>
        <v>6834</v>
      </c>
      <c r="G7" s="38">
        <f>IF(Input_Adjustments!F6="",0,Input_Adjustments!F6)*(1-$E$4)</f>
        <v>6635.25</v>
      </c>
      <c r="H7" s="38">
        <f>IF(Input_Adjustments!H6="",0,Input_Adjustments!H6)*$H$4</f>
        <v>0</v>
      </c>
      <c r="I7" s="38">
        <f t="shared" ref="I7:I26" si="0">D7+F7+G7+H7</f>
        <v>57006.25</v>
      </c>
      <c r="J7" s="39">
        <f t="shared" ref="J7:J26" si="1">IFERROR(I7/E7,"n/a")</f>
        <v>0.8043777338789333</v>
      </c>
      <c r="K7" s="40">
        <f>IF(Input_Adjustments!D6="",0,Input_Adjustments!D6)</f>
        <v>6834</v>
      </c>
      <c r="L7" s="40">
        <f>IF(Input_Adjustments!F6="",0,Input_Adjustments!F6)*(1-$E$4)</f>
        <v>6635.25</v>
      </c>
      <c r="M7" s="40">
        <f>IF(Input_Adjustments!G6="",0,Input_Adjustments!G6)*(1-$E$4)</f>
        <v>9388.5</v>
      </c>
      <c r="N7" s="40">
        <f>IF(Input_Adjustments!H6="",0,Input_Adjustments!H6)*$H$4</f>
        <v>0</v>
      </c>
      <c r="O7" s="40">
        <f>-Input_Finanzen!H6*$K$4</f>
        <v>-10681</v>
      </c>
      <c r="P7" s="40">
        <f t="shared" ref="P7:P26" si="2">D7+K7+L7+M7+N7+O7</f>
        <v>55713.75</v>
      </c>
      <c r="Q7" s="41">
        <f t="shared" ref="Q7:Q26" si="3">IFERROR(P7/E7,"n/a")</f>
        <v>0.78614011570481168</v>
      </c>
      <c r="R7" s="42">
        <f>IF(Input_Adjustments!D6="",0,Input_Adjustments!D6)</f>
        <v>6834</v>
      </c>
      <c r="S7" s="42">
        <f>IF(Input_Adjustments!H6="",0,Input_Adjustments!H6)*$H$4</f>
        <v>0</v>
      </c>
      <c r="T7" s="42">
        <f t="shared" ref="T7:T26" si="4">D7+R7+S7</f>
        <v>50371</v>
      </c>
      <c r="U7" s="43">
        <f t="shared" ref="U7:U26" si="5">IFERROR(T7/E7,"n/a")</f>
        <v>0.71075208127557499</v>
      </c>
      <c r="V7" s="43">
        <f>IFERROR((T7-Input_Finanzen!H6)/E7,"n/a")</f>
        <v>0.56003950896006771</v>
      </c>
      <c r="W7" s="44">
        <f>IFERROR(Input_Finanzen!I6/Input_Finanzen!L6,"n/a")</f>
        <v>0.4841447601084522</v>
      </c>
      <c r="X7" s="44">
        <f t="shared" ref="X7:X26" si="6">IFERROR(MAX(J7,Q7,U7)-MIN(J7,Q7,U7),"n/a")</f>
        <v>9.3625652603358311E-2</v>
      </c>
    </row>
    <row r="8" spans="1:24" x14ac:dyDescent="0.2">
      <c r="A8" s="19" t="s">
        <v>87</v>
      </c>
      <c r="B8" s="36" t="str">
        <f>Input_Finanzen!B7</f>
        <v>Chevron Corp.</v>
      </c>
      <c r="C8" s="21" t="s">
        <v>84</v>
      </c>
      <c r="D8" s="37">
        <f>Input_Finanzen!G7</f>
        <v>50699</v>
      </c>
      <c r="E8" s="37">
        <f>Input_Adjustments!L7</f>
        <v>43507</v>
      </c>
      <c r="F8" s="38">
        <f>IF(Input_Adjustments!D7="",0,Input_Adjustments!D7)</f>
        <v>5985</v>
      </c>
      <c r="G8" s="38">
        <f>IF(Input_Adjustments!F7="",0,Input_Adjustments!F7)*(1-$E$4)</f>
        <v>3083.25</v>
      </c>
      <c r="H8" s="38">
        <f>IF(Input_Adjustments!H7="",0,Input_Adjustments!H7)*$H$4</f>
        <v>0</v>
      </c>
      <c r="I8" s="38">
        <f t="shared" si="0"/>
        <v>59767.25</v>
      </c>
      <c r="J8" s="39">
        <f t="shared" si="1"/>
        <v>1.3737387087135404</v>
      </c>
      <c r="K8" s="40">
        <f>IF(Input_Adjustments!D7="",0,Input_Adjustments!D7)</f>
        <v>5985</v>
      </c>
      <c r="L8" s="40">
        <f>IF(Input_Adjustments!F7="",0,Input_Adjustments!F7)*(1-$E$4)</f>
        <v>3083.25</v>
      </c>
      <c r="M8" s="40">
        <f>IF(Input_Adjustments!G7="",0,Input_Adjustments!G7)*(1-$E$4)</f>
        <v>11241</v>
      </c>
      <c r="N8" s="40">
        <f>IF(Input_Adjustments!H7="",0,Input_Adjustments!H7)*$H$4</f>
        <v>0</v>
      </c>
      <c r="O8" s="40">
        <f>-Input_Finanzen!H7*$K$4</f>
        <v>-7285</v>
      </c>
      <c r="P8" s="40">
        <f t="shared" si="2"/>
        <v>63723.25</v>
      </c>
      <c r="Q8" s="41">
        <f t="shared" si="3"/>
        <v>1.464666605373848</v>
      </c>
      <c r="R8" s="42">
        <f>IF(Input_Adjustments!D7="",0,Input_Adjustments!D7)</f>
        <v>5985</v>
      </c>
      <c r="S8" s="42">
        <f>IF(Input_Adjustments!H7="",0,Input_Adjustments!H7)*$H$4</f>
        <v>0</v>
      </c>
      <c r="T8" s="42">
        <f t="shared" si="4"/>
        <v>56684</v>
      </c>
      <c r="U8" s="43">
        <f t="shared" si="5"/>
        <v>1.3028708023996138</v>
      </c>
      <c r="V8" s="43">
        <f>IFERROR((T8-Input_Finanzen!H7)/E8,"n/a")</f>
        <v>1.1354264830946743</v>
      </c>
      <c r="W8" s="44">
        <f>IFERROR(Input_Finanzen!I7/Input_Finanzen!L7,"n/a")</f>
        <v>1.0565073493624062</v>
      </c>
      <c r="X8" s="44">
        <f t="shared" si="6"/>
        <v>0.16179580297423413</v>
      </c>
    </row>
    <row r="9" spans="1:24" x14ac:dyDescent="0.2">
      <c r="A9" s="19" t="s">
        <v>90</v>
      </c>
      <c r="B9" s="36" t="str">
        <f>Input_Finanzen!B8</f>
        <v>ConocoPhillips</v>
      </c>
      <c r="C9" s="27" t="s">
        <v>92</v>
      </c>
      <c r="D9" s="37">
        <f>Input_Finanzen!G8</f>
        <v>23444</v>
      </c>
      <c r="E9" s="37">
        <f>Input_Adjustments!L8</f>
        <v>25554</v>
      </c>
      <c r="F9" s="38">
        <f>IF(Input_Adjustments!D8="",0,Input_Adjustments!D8)</f>
        <v>950</v>
      </c>
      <c r="G9" s="38">
        <f>IF(Input_Adjustments!F8="",0,Input_Adjustments!F8)*(1-$E$4)</f>
        <v>726.75</v>
      </c>
      <c r="H9" s="38">
        <f>IF(Input_Adjustments!H8="",0,Input_Adjustments!H8)*$H$4</f>
        <v>0</v>
      </c>
      <c r="I9" s="38">
        <f t="shared" si="0"/>
        <v>25120.75</v>
      </c>
      <c r="J9" s="39">
        <f t="shared" si="1"/>
        <v>0.98304570712999917</v>
      </c>
      <c r="K9" s="40">
        <f>IF(Input_Adjustments!D8="",0,Input_Adjustments!D8)</f>
        <v>950</v>
      </c>
      <c r="L9" s="40">
        <f>IF(Input_Adjustments!F8="",0,Input_Adjustments!F8)*(1-$E$4)</f>
        <v>726.75</v>
      </c>
      <c r="M9" s="40">
        <f>IF(Input_Adjustments!G8="",0,Input_Adjustments!G8)*(1-$E$4)</f>
        <v>6273</v>
      </c>
      <c r="N9" s="40">
        <f>IF(Input_Adjustments!H8="",0,Input_Adjustments!H8)*$H$4</f>
        <v>0</v>
      </c>
      <c r="O9" s="40">
        <f>-Input_Finanzen!H8*$K$4</f>
        <v>-6497</v>
      </c>
      <c r="P9" s="40">
        <f t="shared" si="2"/>
        <v>24896.75</v>
      </c>
      <c r="Q9" s="41">
        <f t="shared" si="3"/>
        <v>0.97427995617124519</v>
      </c>
      <c r="R9" s="42">
        <f>IF(Input_Adjustments!D8="",0,Input_Adjustments!D8)</f>
        <v>950</v>
      </c>
      <c r="S9" s="42">
        <f>IF(Input_Adjustments!H8="",0,Input_Adjustments!H8)*$H$4</f>
        <v>0</v>
      </c>
      <c r="T9" s="42">
        <f t="shared" si="4"/>
        <v>24394</v>
      </c>
      <c r="U9" s="43">
        <f t="shared" si="5"/>
        <v>0.9546059325350239</v>
      </c>
      <c r="V9" s="43">
        <f>IFERROR((T9-Input_Finanzen!H8)/E9,"n/a")</f>
        <v>0.70036002191437741</v>
      </c>
      <c r="W9" s="44">
        <f>IFERROR(Input_Finanzen!I8/Input_Finanzen!L8,"n/a")</f>
        <v>0.66899573661771672</v>
      </c>
      <c r="X9" s="44">
        <f t="shared" si="6"/>
        <v>2.8439774594975264E-2</v>
      </c>
    </row>
    <row r="10" spans="1:24" x14ac:dyDescent="0.2">
      <c r="A10" s="19" t="s">
        <v>95</v>
      </c>
      <c r="B10" s="36" t="str">
        <f>Input_Finanzen!B9</f>
        <v>EOG Resources</v>
      </c>
      <c r="C10" s="27" t="s">
        <v>92</v>
      </c>
      <c r="D10" s="37">
        <f>Input_Finanzen!G9</f>
        <v>7936</v>
      </c>
      <c r="E10" s="37">
        <f>Input_Adjustments!L9</f>
        <v>11689</v>
      </c>
      <c r="F10" s="38">
        <f>IF(Input_Adjustments!D9="",0,Input_Adjustments!D9)</f>
        <v>1199</v>
      </c>
      <c r="G10" s="38">
        <f>IF(Input_Adjustments!F9="",0,Input_Adjustments!F9)*(1-$E$4)</f>
        <v>0</v>
      </c>
      <c r="H10" s="38">
        <f>IF(Input_Adjustments!H9="",0,Input_Adjustments!H9)*$H$4</f>
        <v>0</v>
      </c>
      <c r="I10" s="38">
        <f t="shared" si="0"/>
        <v>9135</v>
      </c>
      <c r="J10" s="39">
        <f t="shared" si="1"/>
        <v>0.78150397809906746</v>
      </c>
      <c r="K10" s="40">
        <f>IF(Input_Adjustments!D9="",0,Input_Adjustments!D9)</f>
        <v>1199</v>
      </c>
      <c r="L10" s="40">
        <f>IF(Input_Adjustments!F9="",0,Input_Adjustments!F9)*(1-$E$4)</f>
        <v>0</v>
      </c>
      <c r="M10" s="40">
        <f>IF(Input_Adjustments!G9="",0,Input_Adjustments!G9)*(1-$E$4)</f>
        <v>1177.5</v>
      </c>
      <c r="N10" s="40">
        <f>IF(Input_Adjustments!H9="",0,Input_Adjustments!H9)*$H$4</f>
        <v>0</v>
      </c>
      <c r="O10" s="40">
        <f>-Input_Finanzen!H9*$K$4</f>
        <v>-3396</v>
      </c>
      <c r="P10" s="40">
        <f t="shared" si="2"/>
        <v>6916.5</v>
      </c>
      <c r="Q10" s="41">
        <f t="shared" si="3"/>
        <v>0.59171015484643685</v>
      </c>
      <c r="R10" s="42">
        <f>IF(Input_Adjustments!D9="",0,Input_Adjustments!D9)</f>
        <v>1199</v>
      </c>
      <c r="S10" s="42">
        <f>IF(Input_Adjustments!H9="",0,Input_Adjustments!H9)*$H$4</f>
        <v>0</v>
      </c>
      <c r="T10" s="42">
        <f t="shared" si="4"/>
        <v>9135</v>
      </c>
      <c r="U10" s="43">
        <f t="shared" si="5"/>
        <v>0.78150397809906746</v>
      </c>
      <c r="V10" s="43">
        <f>IFERROR((T10-Input_Finanzen!H9)/E10,"n/a")</f>
        <v>0.49097442039524342</v>
      </c>
      <c r="W10" s="44">
        <f>IFERROR(Input_Finanzen!I9/Input_Finanzen!L9,"n/a")</f>
        <v>0.41858749769500275</v>
      </c>
      <c r="X10" s="44">
        <f t="shared" si="6"/>
        <v>0.18979382325263061</v>
      </c>
    </row>
    <row r="11" spans="1:24" x14ac:dyDescent="0.2">
      <c r="A11" s="19" t="s">
        <v>98</v>
      </c>
      <c r="B11" s="36" t="str">
        <f>Input_Finanzen!B10</f>
        <v>Occidental Petroleum</v>
      </c>
      <c r="C11" s="27" t="s">
        <v>92</v>
      </c>
      <c r="D11" s="37">
        <f>Input_Finanzen!G10</f>
        <v>22396</v>
      </c>
      <c r="E11" s="37">
        <f>Input_Adjustments!L10</f>
        <v>12478</v>
      </c>
      <c r="F11" s="38">
        <f>IF(Input_Adjustments!D10="",0,Input_Adjustments!D10)</f>
        <v>955</v>
      </c>
      <c r="G11" s="38">
        <f>IF(Input_Adjustments!F10="",0,Input_Adjustments!F10)*(1-$E$4)</f>
        <v>738.75</v>
      </c>
      <c r="H11" s="38">
        <f>IF(Input_Adjustments!H10="",0,Input_Adjustments!H10)*$H$4</f>
        <v>4143.5</v>
      </c>
      <c r="I11" s="38">
        <f t="shared" si="0"/>
        <v>28233.25</v>
      </c>
      <c r="J11" s="39">
        <f t="shared" si="1"/>
        <v>2.2626422503606349</v>
      </c>
      <c r="K11" s="40">
        <f>IF(Input_Adjustments!D10="",0,Input_Adjustments!D10)</f>
        <v>955</v>
      </c>
      <c r="L11" s="40">
        <f>IF(Input_Adjustments!F10="",0,Input_Adjustments!F10)*(1-$E$4)</f>
        <v>738.75</v>
      </c>
      <c r="M11" s="40">
        <f>IF(Input_Adjustments!G10="",0,Input_Adjustments!G10)*(1-$E$4)</f>
        <v>3414.75</v>
      </c>
      <c r="N11" s="40">
        <f>IF(Input_Adjustments!H10="",0,Input_Adjustments!H10)*$H$4</f>
        <v>4143.5</v>
      </c>
      <c r="O11" s="40">
        <f>-Input_Finanzen!H10*$K$4</f>
        <v>-1968</v>
      </c>
      <c r="P11" s="40">
        <f t="shared" si="2"/>
        <v>29680</v>
      </c>
      <c r="Q11" s="41">
        <f t="shared" si="3"/>
        <v>2.3785863119089599</v>
      </c>
      <c r="R11" s="42">
        <f>IF(Input_Adjustments!D10="",0,Input_Adjustments!D10)</f>
        <v>955</v>
      </c>
      <c r="S11" s="42">
        <f>IF(Input_Adjustments!H10="",0,Input_Adjustments!H10)*$H$4</f>
        <v>4143.5</v>
      </c>
      <c r="T11" s="42">
        <f t="shared" si="4"/>
        <v>27494.5</v>
      </c>
      <c r="U11" s="43">
        <f t="shared" si="5"/>
        <v>2.2034380509697065</v>
      </c>
      <c r="V11" s="43">
        <f>IFERROR((T11-Input_Finanzen!H10)/E11,"n/a")</f>
        <v>2.0457204680237218</v>
      </c>
      <c r="W11" s="44">
        <f>IFERROR(Input_Finanzen!I10/Input_Finanzen!L10,"n/a")</f>
        <v>1.7400340715502556</v>
      </c>
      <c r="X11" s="44">
        <f t="shared" si="6"/>
        <v>0.1751482609392534</v>
      </c>
    </row>
    <row r="12" spans="1:24" x14ac:dyDescent="0.2">
      <c r="A12" s="19" t="s">
        <v>101</v>
      </c>
      <c r="B12" s="36" t="str">
        <f>Input_Finanzen!B11</f>
        <v>Diamondback Energy</v>
      </c>
      <c r="C12" s="27" t="s">
        <v>92</v>
      </c>
      <c r="D12" s="37">
        <f>Input_Finanzen!G11</f>
        <v>14489</v>
      </c>
      <c r="E12" s="37">
        <f>Input_Adjustments!L11</f>
        <v>9956</v>
      </c>
      <c r="F12" s="38">
        <f>IF(Input_Adjustments!D11="",0,Input_Adjustments!D11)</f>
        <v>0</v>
      </c>
      <c r="G12" s="38">
        <f>IF(Input_Adjustments!F11="",0,Input_Adjustments!F11)*(1-$E$4)</f>
        <v>0</v>
      </c>
      <c r="H12" s="38">
        <f>IF(Input_Adjustments!H11="",0,Input_Adjustments!H11)*$H$4</f>
        <v>0</v>
      </c>
      <c r="I12" s="38">
        <f t="shared" si="0"/>
        <v>14489</v>
      </c>
      <c r="J12" s="39">
        <f t="shared" si="1"/>
        <v>1.4553033346725592</v>
      </c>
      <c r="K12" s="40">
        <f>IF(Input_Adjustments!D11="",0,Input_Adjustments!D11)</f>
        <v>0</v>
      </c>
      <c r="L12" s="40">
        <f>IF(Input_Adjustments!F11="",0,Input_Adjustments!F11)*(1-$E$4)</f>
        <v>0</v>
      </c>
      <c r="M12" s="40">
        <f>IF(Input_Adjustments!G11="",0,Input_Adjustments!G11)*(1-$E$4)</f>
        <v>406.5</v>
      </c>
      <c r="N12" s="40">
        <f>IF(Input_Adjustments!H11="",0,Input_Adjustments!H11)*$H$4</f>
        <v>0</v>
      </c>
      <c r="O12" s="40">
        <f>-Input_Finanzen!H11*$K$4</f>
        <v>-104</v>
      </c>
      <c r="P12" s="40">
        <f t="shared" si="2"/>
        <v>14791.5</v>
      </c>
      <c r="Q12" s="41">
        <f t="shared" si="3"/>
        <v>1.4856870229007633</v>
      </c>
      <c r="R12" s="42">
        <f>IF(Input_Adjustments!D11="",0,Input_Adjustments!D11)</f>
        <v>0</v>
      </c>
      <c r="S12" s="42">
        <f>IF(Input_Adjustments!H11="",0,Input_Adjustments!H11)*$H$4</f>
        <v>0</v>
      </c>
      <c r="T12" s="42">
        <f t="shared" si="4"/>
        <v>14489</v>
      </c>
      <c r="U12" s="43">
        <f t="shared" si="5"/>
        <v>1.4553033346725592</v>
      </c>
      <c r="V12" s="43">
        <f>IFERROR((T12-Input_Finanzen!H11)/E12,"n/a")</f>
        <v>1.4448573724387304</v>
      </c>
      <c r="W12" s="44">
        <f>IFERROR(Input_Finanzen!I11/Input_Finanzen!L11,"n/a")</f>
        <v>2.2818845177664975</v>
      </c>
      <c r="X12" s="44">
        <f t="shared" si="6"/>
        <v>3.0383688228204031E-2</v>
      </c>
    </row>
    <row r="13" spans="1:24" x14ac:dyDescent="0.2">
      <c r="A13" s="19" t="s">
        <v>104</v>
      </c>
      <c r="B13" s="36" t="str">
        <f>Input_Finanzen!B12</f>
        <v>Expand Energy</v>
      </c>
      <c r="C13" s="27" t="s">
        <v>92</v>
      </c>
      <c r="D13" s="37">
        <f>Input_Finanzen!G12</f>
        <v>5009</v>
      </c>
      <c r="E13" s="37">
        <f>Input_Adjustments!L12</f>
        <v>5488</v>
      </c>
      <c r="F13" s="38">
        <f>IF(Input_Adjustments!D12="",0,Input_Adjustments!D12)</f>
        <v>99</v>
      </c>
      <c r="G13" s="38">
        <f>IF(Input_Adjustments!F12="",0,Input_Adjustments!F12)*(1-$E$4)</f>
        <v>0</v>
      </c>
      <c r="H13" s="38">
        <f>IF(Input_Adjustments!H12="",0,Input_Adjustments!H12)*$H$4</f>
        <v>0</v>
      </c>
      <c r="I13" s="38">
        <f t="shared" si="0"/>
        <v>5108</v>
      </c>
      <c r="J13" s="39">
        <f t="shared" si="1"/>
        <v>0.93075801749271136</v>
      </c>
      <c r="K13" s="40">
        <f>IF(Input_Adjustments!D12="",0,Input_Adjustments!D12)</f>
        <v>99</v>
      </c>
      <c r="L13" s="40">
        <f>IF(Input_Adjustments!F12="",0,Input_Adjustments!F12)*(1-$E$4)</f>
        <v>0</v>
      </c>
      <c r="M13" s="40">
        <f>IF(Input_Adjustments!G12="",0,Input_Adjustments!G12)*(1-$E$4)</f>
        <v>543</v>
      </c>
      <c r="N13" s="40">
        <f>IF(Input_Adjustments!H12="",0,Input_Adjustments!H12)*$H$4</f>
        <v>0</v>
      </c>
      <c r="O13" s="40">
        <f>-Input_Finanzen!H12*$K$4</f>
        <v>-616</v>
      </c>
      <c r="P13" s="40">
        <f t="shared" si="2"/>
        <v>5035</v>
      </c>
      <c r="Q13" s="41">
        <f t="shared" si="3"/>
        <v>0.91745626822157433</v>
      </c>
      <c r="R13" s="42">
        <f>IF(Input_Adjustments!D12="",0,Input_Adjustments!D12)</f>
        <v>99</v>
      </c>
      <c r="S13" s="42">
        <f>IF(Input_Adjustments!H12="",0,Input_Adjustments!H12)*$H$4</f>
        <v>0</v>
      </c>
      <c r="T13" s="42">
        <f t="shared" si="4"/>
        <v>5108</v>
      </c>
      <c r="U13" s="43">
        <f t="shared" si="5"/>
        <v>0.93075801749271136</v>
      </c>
      <c r="V13" s="43">
        <f>IFERROR((T13-Input_Finanzen!H12)/E13,"n/a")</f>
        <v>0.81851311953352768</v>
      </c>
      <c r="W13" s="44">
        <f>IFERROR(Input_Finanzen!I12/Input_Finanzen!L12,"n/a")</f>
        <v>0.80590717299578063</v>
      </c>
      <c r="X13" s="44">
        <f t="shared" si="6"/>
        <v>1.3301749271137031E-2</v>
      </c>
    </row>
    <row r="14" spans="1:24" x14ac:dyDescent="0.2">
      <c r="A14" s="19" t="s">
        <v>107</v>
      </c>
      <c r="B14" s="36" t="str">
        <f>Input_Finanzen!B13</f>
        <v>EQT Corp.</v>
      </c>
      <c r="C14" s="27" t="s">
        <v>92</v>
      </c>
      <c r="D14" s="37">
        <f>Input_Finanzen!G13</f>
        <v>7800.3</v>
      </c>
      <c r="E14" s="37">
        <f>Input_Adjustments!L13</f>
        <v>6158.4</v>
      </c>
      <c r="F14" s="38">
        <f>IF(Input_Adjustments!D13="",0,Input_Adjustments!D13)</f>
        <v>78.400000000000006</v>
      </c>
      <c r="G14" s="38">
        <f>IF(Input_Adjustments!F13="",0,Input_Adjustments!F13)*(1-$E$4)</f>
        <v>0</v>
      </c>
      <c r="H14" s="38">
        <f>IF(Input_Adjustments!H13="",0,Input_Adjustments!H13)*$H$4</f>
        <v>0</v>
      </c>
      <c r="I14" s="38">
        <f t="shared" si="0"/>
        <v>7878.7</v>
      </c>
      <c r="J14" s="39">
        <f t="shared" si="1"/>
        <v>1.2793420368926995</v>
      </c>
      <c r="K14" s="40">
        <f>IF(Input_Adjustments!D13="",0,Input_Adjustments!D13)</f>
        <v>78.400000000000006</v>
      </c>
      <c r="L14" s="40">
        <f>IF(Input_Adjustments!F13="",0,Input_Adjustments!F13)*(1-$E$4)</f>
        <v>0</v>
      </c>
      <c r="M14" s="40">
        <f>IF(Input_Adjustments!G13="",0,Input_Adjustments!G13)*(1-$E$4)</f>
        <v>764.625</v>
      </c>
      <c r="N14" s="40">
        <f>IF(Input_Adjustments!H13="",0,Input_Adjustments!H13)*$H$4</f>
        <v>0</v>
      </c>
      <c r="O14" s="40">
        <f>-Input_Finanzen!H13*$K$4</f>
        <v>-110.8</v>
      </c>
      <c r="P14" s="40">
        <f t="shared" si="2"/>
        <v>8532.5250000000015</v>
      </c>
      <c r="Q14" s="41">
        <f t="shared" si="3"/>
        <v>1.3855100350740455</v>
      </c>
      <c r="R14" s="42">
        <f>IF(Input_Adjustments!D13="",0,Input_Adjustments!D13)</f>
        <v>78.400000000000006</v>
      </c>
      <c r="S14" s="42">
        <f>IF(Input_Adjustments!H13="",0,Input_Adjustments!H13)*$H$4</f>
        <v>0</v>
      </c>
      <c r="T14" s="42">
        <f t="shared" si="4"/>
        <v>7878.7</v>
      </c>
      <c r="U14" s="43">
        <f t="shared" si="5"/>
        <v>1.2793420368926995</v>
      </c>
      <c r="V14" s="43">
        <f>IFERROR((T14-Input_Finanzen!H13)/E14,"n/a")</f>
        <v>1.261350350740452</v>
      </c>
      <c r="W14" s="44">
        <f>IFERROR(Input_Finanzen!I13/Input_Finanzen!L13,"n/a")</f>
        <v>1.3144444444444445</v>
      </c>
      <c r="X14" s="44">
        <f t="shared" si="6"/>
        <v>0.10616799818134592</v>
      </c>
    </row>
    <row r="15" spans="1:24" x14ac:dyDescent="0.2">
      <c r="A15" s="19" t="s">
        <v>110</v>
      </c>
      <c r="B15" s="36" t="str">
        <f>Input_Finanzen!B14</f>
        <v>Devon Energy</v>
      </c>
      <c r="C15" s="27" t="s">
        <v>92</v>
      </c>
      <c r="D15" s="37">
        <f>Input_Finanzen!G14</f>
        <v>8389</v>
      </c>
      <c r="E15" s="37">
        <f>Input_Adjustments!L14</f>
        <v>7812</v>
      </c>
      <c r="F15" s="38">
        <f>IF(Input_Adjustments!D14="",0,Input_Adjustments!D14)</f>
        <v>276</v>
      </c>
      <c r="G15" s="38">
        <f>IF(Input_Adjustments!F14="",0,Input_Adjustments!F14)*(1-$E$4)</f>
        <v>126.75</v>
      </c>
      <c r="H15" s="38">
        <f>IF(Input_Adjustments!H14="",0,Input_Adjustments!H14)*$H$4</f>
        <v>0</v>
      </c>
      <c r="I15" s="38">
        <f t="shared" si="0"/>
        <v>8791.75</v>
      </c>
      <c r="J15" s="39">
        <f t="shared" si="1"/>
        <v>1.1254160266257041</v>
      </c>
      <c r="K15" s="40">
        <f>IF(Input_Adjustments!D14="",0,Input_Adjustments!D14)</f>
        <v>276</v>
      </c>
      <c r="L15" s="40">
        <f>IF(Input_Adjustments!F14="",0,Input_Adjustments!F14)*(1-$E$4)</f>
        <v>126.75</v>
      </c>
      <c r="M15" s="40">
        <f>IF(Input_Adjustments!G14="",0,Input_Adjustments!G14)*(1-$E$4)</f>
        <v>679.5</v>
      </c>
      <c r="N15" s="40">
        <f>IF(Input_Adjustments!H14="",0,Input_Adjustments!H14)*$H$4</f>
        <v>0</v>
      </c>
      <c r="O15" s="40">
        <f>-Input_Finanzen!H14*$K$4</f>
        <v>-1384</v>
      </c>
      <c r="P15" s="40">
        <f t="shared" si="2"/>
        <v>8087.25</v>
      </c>
      <c r="Q15" s="41">
        <f t="shared" si="3"/>
        <v>1.0352342549923195</v>
      </c>
      <c r="R15" s="42">
        <f>IF(Input_Adjustments!D14="",0,Input_Adjustments!D14)</f>
        <v>276</v>
      </c>
      <c r="S15" s="42">
        <f>IF(Input_Adjustments!H14="",0,Input_Adjustments!H14)*$H$4</f>
        <v>0</v>
      </c>
      <c r="T15" s="42">
        <f t="shared" si="4"/>
        <v>8665</v>
      </c>
      <c r="U15" s="43">
        <f t="shared" si="5"/>
        <v>1.1091909882232462</v>
      </c>
      <c r="V15" s="43">
        <f>IFERROR((T15-Input_Finanzen!H14)/E15,"n/a")</f>
        <v>0.9320276497695853</v>
      </c>
      <c r="W15" s="44">
        <f>IFERROR(Input_Finanzen!I14/Input_Finanzen!L14,"n/a")</f>
        <v>0.92683249536914525</v>
      </c>
      <c r="X15" s="44">
        <f t="shared" si="6"/>
        <v>9.0181771633384589E-2</v>
      </c>
    </row>
    <row r="16" spans="1:24" x14ac:dyDescent="0.2">
      <c r="A16" s="19" t="s">
        <v>113</v>
      </c>
      <c r="B16" s="36" t="str">
        <f>Input_Finanzen!B15</f>
        <v>Coterra Energy</v>
      </c>
      <c r="C16" s="27" t="s">
        <v>92</v>
      </c>
      <c r="D16" s="37">
        <f>Input_Finanzen!G15</f>
        <v>3818</v>
      </c>
      <c r="E16" s="37">
        <f>Input_Adjustments!L15</f>
        <v>4822</v>
      </c>
      <c r="F16" s="38">
        <f>IF(Input_Adjustments!D15="",0,Input_Adjustments!D15)</f>
        <v>188</v>
      </c>
      <c r="G16" s="38">
        <f>IF(Input_Adjustments!F15="",0,Input_Adjustments!F15)*(1-$E$4)</f>
        <v>7.5</v>
      </c>
      <c r="H16" s="38">
        <f>IF(Input_Adjustments!H15="",0,Input_Adjustments!H15)*$H$4</f>
        <v>4</v>
      </c>
      <c r="I16" s="38">
        <f t="shared" si="0"/>
        <v>4017.5</v>
      </c>
      <c r="J16" s="39">
        <f t="shared" si="1"/>
        <v>0.83316051430941518</v>
      </c>
      <c r="K16" s="40">
        <f>IF(Input_Adjustments!D15="",0,Input_Adjustments!D15)</f>
        <v>188</v>
      </c>
      <c r="L16" s="40">
        <f>IF(Input_Adjustments!F15="",0,Input_Adjustments!F15)*(1-$E$4)</f>
        <v>7.5</v>
      </c>
      <c r="M16" s="40">
        <f>IF(Input_Adjustments!G15="",0,Input_Adjustments!G15)*(1-$E$4)</f>
        <v>257.25</v>
      </c>
      <c r="N16" s="40">
        <f>IF(Input_Adjustments!H15="",0,Input_Adjustments!H15)*$H$4</f>
        <v>4</v>
      </c>
      <c r="O16" s="40">
        <f>-Input_Finanzen!H15*$K$4</f>
        <v>-114</v>
      </c>
      <c r="P16" s="40">
        <f t="shared" si="2"/>
        <v>4160.75</v>
      </c>
      <c r="Q16" s="41">
        <f t="shared" si="3"/>
        <v>0.86286810452094564</v>
      </c>
      <c r="R16" s="42">
        <f>IF(Input_Adjustments!D15="",0,Input_Adjustments!D15)</f>
        <v>188</v>
      </c>
      <c r="S16" s="42">
        <f>IF(Input_Adjustments!H15="",0,Input_Adjustments!H15)*$H$4</f>
        <v>4</v>
      </c>
      <c r="T16" s="42">
        <f t="shared" si="4"/>
        <v>4010</v>
      </c>
      <c r="U16" s="43">
        <f t="shared" si="5"/>
        <v>0.83160514309415179</v>
      </c>
      <c r="V16" s="43">
        <f>IFERROR((T16-Input_Finanzen!H15)/E16,"n/a")</f>
        <v>0.8079635006221485</v>
      </c>
      <c r="W16" s="44">
        <f>IFERROR(Input_Finanzen!I15/Input_Finanzen!L15,"n/a")</f>
        <v>0.76814599751140611</v>
      </c>
      <c r="X16" s="44">
        <f t="shared" si="6"/>
        <v>3.1262961426793856E-2</v>
      </c>
    </row>
    <row r="17" spans="1:24" x14ac:dyDescent="0.2">
      <c r="A17" s="19" t="s">
        <v>116</v>
      </c>
      <c r="B17" s="36" t="str">
        <f>Input_Finanzen!B16</f>
        <v>Williams Companies</v>
      </c>
      <c r="C17" s="28" t="s">
        <v>118</v>
      </c>
      <c r="D17" s="37">
        <f>Input_Finanzen!G16</f>
        <v>28661</v>
      </c>
      <c r="E17" s="37">
        <f>Input_Adjustments!L16</f>
        <v>6795</v>
      </c>
      <c r="F17" s="38">
        <f>IF(Input_Adjustments!D16="",0,Input_Adjustments!D16)</f>
        <v>183</v>
      </c>
      <c r="G17" s="38">
        <f>IF(Input_Adjustments!F16="",0,Input_Adjustments!F16)*(1-$E$4)</f>
        <v>0</v>
      </c>
      <c r="H17" s="38">
        <f>IF(Input_Adjustments!H16="",0,Input_Adjustments!H16)*$H$4</f>
        <v>17.5</v>
      </c>
      <c r="I17" s="38">
        <f t="shared" si="0"/>
        <v>28861.5</v>
      </c>
      <c r="J17" s="39">
        <f t="shared" si="1"/>
        <v>4.2474613686534219</v>
      </c>
      <c r="K17" s="40">
        <f>IF(Input_Adjustments!D16="",0,Input_Adjustments!D16)</f>
        <v>183</v>
      </c>
      <c r="L17" s="40">
        <f>IF(Input_Adjustments!F16="",0,Input_Adjustments!F16)*(1-$E$4)</f>
        <v>0</v>
      </c>
      <c r="M17" s="40">
        <f>IF(Input_Adjustments!G16="",0,Input_Adjustments!G16)*(1-$E$4)</f>
        <v>1940.25</v>
      </c>
      <c r="N17" s="40">
        <f>IF(Input_Adjustments!H16="",0,Input_Adjustments!H16)*$H$4</f>
        <v>17.5</v>
      </c>
      <c r="O17" s="40">
        <f>-Input_Finanzen!H16*$K$4</f>
        <v>-63</v>
      </c>
      <c r="P17" s="40">
        <f t="shared" si="2"/>
        <v>30738.75</v>
      </c>
      <c r="Q17" s="41">
        <f t="shared" si="3"/>
        <v>4.5237306843267104</v>
      </c>
      <c r="R17" s="42">
        <f>IF(Input_Adjustments!D16="",0,Input_Adjustments!D16)</f>
        <v>183</v>
      </c>
      <c r="S17" s="42">
        <f>IF(Input_Adjustments!H16="",0,Input_Adjustments!H16)*$H$4</f>
        <v>17.5</v>
      </c>
      <c r="T17" s="42">
        <f t="shared" si="4"/>
        <v>28861.5</v>
      </c>
      <c r="U17" s="43">
        <f t="shared" si="5"/>
        <v>4.2474613686534219</v>
      </c>
      <c r="V17" s="43">
        <f>IFERROR((T17-Input_Finanzen!H16)/E17,"n/a")</f>
        <v>4.2381898454746141</v>
      </c>
      <c r="W17" s="44">
        <f>IFERROR(Input_Finanzen!I16/Input_Finanzen!L16,"n/a")</f>
        <v>4.3707779306128689</v>
      </c>
      <c r="X17" s="44">
        <f t="shared" si="6"/>
        <v>0.2762693156732885</v>
      </c>
    </row>
    <row r="18" spans="1:24" x14ac:dyDescent="0.2">
      <c r="A18" s="19" t="s">
        <v>121</v>
      </c>
      <c r="B18" s="36" t="str">
        <f>Input_Finanzen!B17</f>
        <v>Kinder Morgan</v>
      </c>
      <c r="C18" s="28" t="s">
        <v>118</v>
      </c>
      <c r="D18" s="37">
        <f>Input_Finanzen!G17</f>
        <v>32003</v>
      </c>
      <c r="E18" s="37">
        <f>Input_Adjustments!L17</f>
        <v>7092</v>
      </c>
      <c r="F18" s="38">
        <f>IF(Input_Adjustments!D17="",0,Input_Adjustments!D17)</f>
        <v>216</v>
      </c>
      <c r="G18" s="38">
        <f>IF(Input_Adjustments!F17="",0,Input_Adjustments!F17)*(1-$E$4)</f>
        <v>0</v>
      </c>
      <c r="H18" s="38">
        <f>IF(Input_Adjustments!H17="",0,Input_Adjustments!H17)*$H$4</f>
        <v>0</v>
      </c>
      <c r="I18" s="38">
        <f t="shared" si="0"/>
        <v>32219</v>
      </c>
      <c r="J18" s="39">
        <f t="shared" si="1"/>
        <v>4.5430062041737171</v>
      </c>
      <c r="K18" s="40">
        <f>IF(Input_Adjustments!D17="",0,Input_Adjustments!D17)</f>
        <v>216</v>
      </c>
      <c r="L18" s="40">
        <f>IF(Input_Adjustments!F17="",0,Input_Adjustments!F17)*(1-$E$4)</f>
        <v>0</v>
      </c>
      <c r="M18" s="40">
        <f>IF(Input_Adjustments!G17="",0,Input_Adjustments!G17)*(1-$E$4)</f>
        <v>191.25</v>
      </c>
      <c r="N18" s="40">
        <f>IF(Input_Adjustments!H17="",0,Input_Adjustments!H17)*$H$4</f>
        <v>0</v>
      </c>
      <c r="O18" s="40">
        <f>-Input_Finanzen!H17*$K$4</f>
        <v>-63</v>
      </c>
      <c r="P18" s="40">
        <f t="shared" si="2"/>
        <v>32347.25</v>
      </c>
      <c r="Q18" s="41">
        <f t="shared" si="3"/>
        <v>4.5610899605188946</v>
      </c>
      <c r="R18" s="42">
        <f>IF(Input_Adjustments!D17="",0,Input_Adjustments!D17)</f>
        <v>216</v>
      </c>
      <c r="S18" s="42">
        <f>IF(Input_Adjustments!H17="",0,Input_Adjustments!H17)*$H$4</f>
        <v>0</v>
      </c>
      <c r="T18" s="42">
        <f t="shared" si="4"/>
        <v>32219</v>
      </c>
      <c r="U18" s="43">
        <f t="shared" si="5"/>
        <v>4.5430062041737171</v>
      </c>
      <c r="V18" s="43">
        <f>IFERROR((T18-Input_Finanzen!H17)/E18,"n/a")</f>
        <v>4.5341229554427525</v>
      </c>
      <c r="W18" s="44">
        <f>IFERROR(Input_Finanzen!I17/Input_Finanzen!L17,"n/a")</f>
        <v>4.4503274348613626</v>
      </c>
      <c r="X18" s="44">
        <f t="shared" si="6"/>
        <v>1.8083756345177449E-2</v>
      </c>
    </row>
    <row r="19" spans="1:24" x14ac:dyDescent="0.2">
      <c r="A19" s="19" t="s">
        <v>123</v>
      </c>
      <c r="B19" s="36" t="str">
        <f>Input_Finanzen!B18</f>
        <v>ONEOK</v>
      </c>
      <c r="C19" s="28" t="s">
        <v>118</v>
      </c>
      <c r="D19" s="37">
        <f>Input_Finanzen!G18</f>
        <v>31996</v>
      </c>
      <c r="E19" s="37">
        <f>Input_Adjustments!L18</f>
        <v>7266</v>
      </c>
      <c r="F19" s="38">
        <f>IF(Input_Adjustments!D18="",0,Input_Adjustments!D18)</f>
        <v>237</v>
      </c>
      <c r="G19" s="38">
        <f>IF(Input_Adjustments!F18="",0,Input_Adjustments!F18)*(1-$E$4)</f>
        <v>0</v>
      </c>
      <c r="H19" s="38">
        <f>IF(Input_Adjustments!H18="",0,Input_Adjustments!H18)*$H$4</f>
        <v>0</v>
      </c>
      <c r="I19" s="38">
        <f t="shared" si="0"/>
        <v>32233</v>
      </c>
      <c r="J19" s="39">
        <f t="shared" si="1"/>
        <v>4.4361409303605832</v>
      </c>
      <c r="K19" s="40">
        <f>IF(Input_Adjustments!D18="",0,Input_Adjustments!D18)</f>
        <v>237</v>
      </c>
      <c r="L19" s="40">
        <f>IF(Input_Adjustments!F18="",0,Input_Adjustments!F18)*(1-$E$4)</f>
        <v>0</v>
      </c>
      <c r="M19" s="40">
        <f>IF(Input_Adjustments!G18="",0,Input_Adjustments!G18)*(1-$E$4)</f>
        <v>0</v>
      </c>
      <c r="N19" s="40">
        <f>IF(Input_Adjustments!H18="",0,Input_Adjustments!H18)*$H$4</f>
        <v>0</v>
      </c>
      <c r="O19" s="40">
        <f>-Input_Finanzen!H18*$K$4</f>
        <v>-78</v>
      </c>
      <c r="P19" s="40">
        <f t="shared" si="2"/>
        <v>32155</v>
      </c>
      <c r="Q19" s="41">
        <f t="shared" si="3"/>
        <v>4.4254060005505096</v>
      </c>
      <c r="R19" s="42">
        <f>IF(Input_Adjustments!D18="",0,Input_Adjustments!D18)</f>
        <v>237</v>
      </c>
      <c r="S19" s="42">
        <f>IF(Input_Adjustments!H18="",0,Input_Adjustments!H18)*$H$4</f>
        <v>0</v>
      </c>
      <c r="T19" s="42">
        <f t="shared" si="4"/>
        <v>32233</v>
      </c>
      <c r="U19" s="43">
        <f t="shared" si="5"/>
        <v>4.4361409303605832</v>
      </c>
      <c r="V19" s="43">
        <f>IFERROR((T19-Input_Finanzen!H18)/E19,"n/a")</f>
        <v>4.4254060005505096</v>
      </c>
      <c r="W19" s="44">
        <f>IFERROR(Input_Finanzen!I18/Input_Finanzen!L18,"n/a")</f>
        <v>4.3994486560992421</v>
      </c>
      <c r="X19" s="44">
        <f t="shared" si="6"/>
        <v>1.0734929810073623E-2</v>
      </c>
    </row>
    <row r="20" spans="1:24" x14ac:dyDescent="0.2">
      <c r="A20" s="19" t="s">
        <v>125</v>
      </c>
      <c r="B20" s="36" t="str">
        <f>Input_Finanzen!B19</f>
        <v>Targa Resources</v>
      </c>
      <c r="C20" s="28" t="s">
        <v>118</v>
      </c>
      <c r="D20" s="37">
        <f>Input_Finanzen!G19</f>
        <v>17432.400000000001</v>
      </c>
      <c r="E20" s="37">
        <f>Input_Adjustments!L19</f>
        <v>4855.3999999999996</v>
      </c>
      <c r="F20" s="38">
        <f>IF(Input_Adjustments!D19="",0,Input_Adjustments!D19)</f>
        <v>113.8</v>
      </c>
      <c r="G20" s="38">
        <f>IF(Input_Adjustments!F19="",0,Input_Adjustments!F19)*(1-$E$4)</f>
        <v>0</v>
      </c>
      <c r="H20" s="38">
        <f>IF(Input_Adjustments!H19="",0,Input_Adjustments!H19)*$H$4</f>
        <v>0</v>
      </c>
      <c r="I20" s="38">
        <f t="shared" si="0"/>
        <v>17546.2</v>
      </c>
      <c r="J20" s="39">
        <f t="shared" si="1"/>
        <v>3.6137496395765543</v>
      </c>
      <c r="K20" s="40">
        <f>IF(Input_Adjustments!D19="",0,Input_Adjustments!D19)</f>
        <v>113.8</v>
      </c>
      <c r="L20" s="40">
        <f>IF(Input_Adjustments!F19="",0,Input_Adjustments!F19)*(1-$E$4)</f>
        <v>0</v>
      </c>
      <c r="M20" s="40">
        <f>IF(Input_Adjustments!G19="",0,Input_Adjustments!G19)*(1-$E$4)</f>
        <v>139.05000000000001</v>
      </c>
      <c r="N20" s="40">
        <f>IF(Input_Adjustments!H19="",0,Input_Adjustments!H19)*$H$4</f>
        <v>0</v>
      </c>
      <c r="O20" s="40">
        <f>-Input_Finanzen!H19*$K$4</f>
        <v>-166.1</v>
      </c>
      <c r="P20" s="40">
        <f t="shared" si="2"/>
        <v>17519.150000000001</v>
      </c>
      <c r="Q20" s="41">
        <f t="shared" si="3"/>
        <v>3.6081785228817407</v>
      </c>
      <c r="R20" s="42">
        <f>IF(Input_Adjustments!D19="",0,Input_Adjustments!D19)</f>
        <v>113.8</v>
      </c>
      <c r="S20" s="42">
        <f>IF(Input_Adjustments!H19="",0,Input_Adjustments!H19)*$H$4</f>
        <v>0</v>
      </c>
      <c r="T20" s="42">
        <f t="shared" si="4"/>
        <v>17546.2</v>
      </c>
      <c r="U20" s="43">
        <f t="shared" si="5"/>
        <v>3.6137496395765543</v>
      </c>
      <c r="V20" s="43">
        <f>IFERROR((T20-Input_Finanzen!H19)/E20,"n/a")</f>
        <v>3.5795403056390831</v>
      </c>
      <c r="W20" s="44">
        <f>IFERROR(Input_Finanzen!I19/Input_Finanzen!L19,"n/a")</f>
        <v>3.562632827813887</v>
      </c>
      <c r="X20" s="44">
        <f t="shared" si="6"/>
        <v>5.5711166948135826E-3</v>
      </c>
    </row>
    <row r="21" spans="1:24" x14ac:dyDescent="0.2">
      <c r="A21" s="19" t="s">
        <v>128</v>
      </c>
      <c r="B21" s="36" t="str">
        <f>Input_Finanzen!B20</f>
        <v>Marathon Petroleum</v>
      </c>
      <c r="C21" s="30" t="s">
        <v>130</v>
      </c>
      <c r="D21" s="37">
        <f>Input_Finanzen!G20</f>
        <v>32876</v>
      </c>
      <c r="E21" s="37">
        <f>Input_Adjustments!L20</f>
        <v>11175</v>
      </c>
      <c r="F21" s="38">
        <f>IF(Input_Adjustments!D20="",0,Input_Adjustments!D20)</f>
        <v>1482</v>
      </c>
      <c r="G21" s="38">
        <f>IF(Input_Adjustments!F20="",0,Input_Adjustments!F20)*(1-$E$4)</f>
        <v>879.75</v>
      </c>
      <c r="H21" s="38">
        <f>IF(Input_Adjustments!H20="",0,Input_Adjustments!H20)*$H$4</f>
        <v>0</v>
      </c>
      <c r="I21" s="38">
        <f t="shared" si="0"/>
        <v>35237.75</v>
      </c>
      <c r="J21" s="39">
        <f t="shared" si="1"/>
        <v>3.1532662192393737</v>
      </c>
      <c r="K21" s="40">
        <f>IF(Input_Adjustments!D20="",0,Input_Adjustments!D20)</f>
        <v>1482</v>
      </c>
      <c r="L21" s="40">
        <f>IF(Input_Adjustments!F20="",0,Input_Adjustments!F20)*(1-$E$4)</f>
        <v>879.75</v>
      </c>
      <c r="M21" s="40">
        <f>IF(Input_Adjustments!G20="",0,Input_Adjustments!G20)*(1-$E$4)</f>
        <v>196.5</v>
      </c>
      <c r="N21" s="40">
        <f>IF(Input_Adjustments!H20="",0,Input_Adjustments!H20)*$H$4</f>
        <v>0</v>
      </c>
      <c r="O21" s="40">
        <f>-Input_Finanzen!H20*$K$4</f>
        <v>-3672</v>
      </c>
      <c r="P21" s="40">
        <f t="shared" si="2"/>
        <v>31762.25</v>
      </c>
      <c r="Q21" s="41">
        <f t="shared" si="3"/>
        <v>2.8422595078299775</v>
      </c>
      <c r="R21" s="42">
        <f>IF(Input_Adjustments!D20="",0,Input_Adjustments!D20)</f>
        <v>1482</v>
      </c>
      <c r="S21" s="42">
        <f>IF(Input_Adjustments!H20="",0,Input_Adjustments!H20)*$H$4</f>
        <v>0</v>
      </c>
      <c r="T21" s="42">
        <f t="shared" si="4"/>
        <v>34358</v>
      </c>
      <c r="U21" s="43">
        <f t="shared" si="5"/>
        <v>3.0745413870246083</v>
      </c>
      <c r="V21" s="43">
        <f>IFERROR((T21-Input_Finanzen!H20)/E21,"n/a")</f>
        <v>2.7459507829977627</v>
      </c>
      <c r="W21" s="44">
        <f>IFERROR(Input_Finanzen!I20/Input_Finanzen!L20,"n/a")</f>
        <v>2.5302373938658813</v>
      </c>
      <c r="X21" s="44">
        <f t="shared" si="6"/>
        <v>0.31100671140939617</v>
      </c>
    </row>
    <row r="22" spans="1:24" x14ac:dyDescent="0.2">
      <c r="A22" s="19" t="s">
        <v>131</v>
      </c>
      <c r="B22" s="36" t="str">
        <f>Input_Finanzen!B21</f>
        <v>Phillips 66</v>
      </c>
      <c r="C22" s="30" t="s">
        <v>130</v>
      </c>
      <c r="D22" s="37">
        <f>Input_Finanzen!G21</f>
        <v>19716</v>
      </c>
      <c r="E22" s="37">
        <f>Input_Adjustments!L21</f>
        <v>10056</v>
      </c>
      <c r="F22" s="38">
        <f>IF(Input_Adjustments!D21="",0,Input_Adjustments!D21)</f>
        <v>1870</v>
      </c>
      <c r="G22" s="38">
        <f>IF(Input_Adjustments!F21="",0,Input_Adjustments!F21)*(1-$E$4)</f>
        <v>429.75</v>
      </c>
      <c r="H22" s="38">
        <f>IF(Input_Adjustments!H21="",0,Input_Adjustments!H21)*$H$4</f>
        <v>0</v>
      </c>
      <c r="I22" s="38">
        <f t="shared" si="0"/>
        <v>22015.75</v>
      </c>
      <c r="J22" s="39">
        <f t="shared" si="1"/>
        <v>2.1893148369132858</v>
      </c>
      <c r="K22" s="40">
        <f>IF(Input_Adjustments!D21="",0,Input_Adjustments!D21)</f>
        <v>1870</v>
      </c>
      <c r="L22" s="40">
        <f>IF(Input_Adjustments!F21="",0,Input_Adjustments!F21)*(1-$E$4)</f>
        <v>429.75</v>
      </c>
      <c r="M22" s="40">
        <f>IF(Input_Adjustments!G21="",0,Input_Adjustments!G21)*(1-$E$4)</f>
        <v>540.75</v>
      </c>
      <c r="N22" s="40">
        <f>IF(Input_Adjustments!H21="",0,Input_Adjustments!H21)*$H$4</f>
        <v>0</v>
      </c>
      <c r="O22" s="40">
        <f>-Input_Finanzen!H21*$K$4</f>
        <v>-1116</v>
      </c>
      <c r="P22" s="40">
        <f t="shared" si="2"/>
        <v>21440.5</v>
      </c>
      <c r="Q22" s="41">
        <f t="shared" si="3"/>
        <v>2.1321101829753379</v>
      </c>
      <c r="R22" s="42">
        <f>IF(Input_Adjustments!D21="",0,Input_Adjustments!D21)</f>
        <v>1870</v>
      </c>
      <c r="S22" s="42">
        <f>IF(Input_Adjustments!H21="",0,Input_Adjustments!H21)*$H$4</f>
        <v>0</v>
      </c>
      <c r="T22" s="42">
        <f t="shared" si="4"/>
        <v>21586</v>
      </c>
      <c r="U22" s="43">
        <f t="shared" si="5"/>
        <v>2.1465791567223547</v>
      </c>
      <c r="V22" s="43">
        <f>IFERROR((T22-Input_Finanzen!H21)/E22,"n/a")</f>
        <v>2.0356006364359587</v>
      </c>
      <c r="W22" s="44">
        <f>IFERROR(Input_Finanzen!I21/Input_Finanzen!L21,"n/a")</f>
        <v>1.9238725693007861</v>
      </c>
      <c r="X22" s="44">
        <f t="shared" si="6"/>
        <v>5.7204653937947825E-2</v>
      </c>
    </row>
    <row r="23" spans="1:24" x14ac:dyDescent="0.2">
      <c r="A23" s="19" t="s">
        <v>133</v>
      </c>
      <c r="B23" s="36" t="str">
        <f>Input_Finanzen!B22</f>
        <v>Valero Energy</v>
      </c>
      <c r="C23" s="30" t="s">
        <v>130</v>
      </c>
      <c r="D23" s="37">
        <f>Input_Finanzen!G22</f>
        <v>10619</v>
      </c>
      <c r="E23" s="37">
        <f>Input_Adjustments!L22</f>
        <v>7470</v>
      </c>
      <c r="F23" s="38">
        <f>IF(Input_Adjustments!D22="",0,Input_Adjustments!D22)</f>
        <v>1084</v>
      </c>
      <c r="G23" s="38">
        <f>IF(Input_Adjustments!F22="",0,Input_Adjustments!F22)*(1-$E$4)</f>
        <v>317.25</v>
      </c>
      <c r="H23" s="38">
        <f>IF(Input_Adjustments!H22="",0,Input_Adjustments!H22)*$H$4</f>
        <v>0</v>
      </c>
      <c r="I23" s="38">
        <f t="shared" si="0"/>
        <v>12020.25</v>
      </c>
      <c r="J23" s="39">
        <f t="shared" si="1"/>
        <v>1.6091365461847389</v>
      </c>
      <c r="K23" s="40">
        <f>IF(Input_Adjustments!D22="",0,Input_Adjustments!D22)</f>
        <v>1084</v>
      </c>
      <c r="L23" s="40">
        <f>IF(Input_Adjustments!F22="",0,Input_Adjustments!F22)*(1-$E$4)</f>
        <v>317.25</v>
      </c>
      <c r="M23" s="40">
        <f>IF(Input_Adjustments!G22="",0,Input_Adjustments!G22)*(1-$E$4)</f>
        <v>286.5</v>
      </c>
      <c r="N23" s="40">
        <f>IF(Input_Adjustments!H22="",0,Input_Adjustments!H22)*$H$4</f>
        <v>0</v>
      </c>
      <c r="O23" s="40">
        <f>-Input_Finanzen!H22*$K$4</f>
        <v>-4688</v>
      </c>
      <c r="P23" s="40">
        <f t="shared" si="2"/>
        <v>7618.75</v>
      </c>
      <c r="Q23" s="41">
        <f t="shared" si="3"/>
        <v>1.0199129852744311</v>
      </c>
      <c r="R23" s="42">
        <f>IF(Input_Adjustments!D22="",0,Input_Adjustments!D22)</f>
        <v>1084</v>
      </c>
      <c r="S23" s="42">
        <f>IF(Input_Adjustments!H22="",0,Input_Adjustments!H22)*$H$4</f>
        <v>0</v>
      </c>
      <c r="T23" s="42">
        <f t="shared" si="4"/>
        <v>11703</v>
      </c>
      <c r="U23" s="43">
        <f t="shared" si="5"/>
        <v>1.5666666666666667</v>
      </c>
      <c r="V23" s="43">
        <f>IFERROR((T23-Input_Finanzen!H22)/E23,"n/a")</f>
        <v>0.93908969210174031</v>
      </c>
      <c r="W23" s="44">
        <f>IFERROR(Input_Finanzen!I22/Input_Finanzen!L22,"n/a")</f>
        <v>0.93563653573118788</v>
      </c>
      <c r="X23" s="44">
        <f t="shared" si="6"/>
        <v>0.58922356091030781</v>
      </c>
    </row>
    <row r="24" spans="1:24" x14ac:dyDescent="0.2">
      <c r="A24" s="19" t="s">
        <v>135</v>
      </c>
      <c r="B24" s="36" t="str">
        <f>Input_Finanzen!B23</f>
        <v>SLB (Schlumberger)</v>
      </c>
      <c r="C24" s="31" t="s">
        <v>137</v>
      </c>
      <c r="D24" s="37">
        <f>Input_Finanzen!G23</f>
        <v>10942</v>
      </c>
      <c r="E24" s="37">
        <f>Input_Adjustments!L23</f>
        <v>7764</v>
      </c>
      <c r="F24" s="38">
        <f>IF(Input_Adjustments!D23="",0,Input_Adjustments!D23)</f>
        <v>905</v>
      </c>
      <c r="G24" s="38">
        <f>IF(Input_Adjustments!F23="",0,Input_Adjustments!F23)*(1-$E$4)</f>
        <v>359.25</v>
      </c>
      <c r="H24" s="38">
        <f>IF(Input_Adjustments!H23="",0,Input_Adjustments!H23)*$H$4</f>
        <v>0</v>
      </c>
      <c r="I24" s="38">
        <f t="shared" si="0"/>
        <v>12206.25</v>
      </c>
      <c r="J24" s="39">
        <f t="shared" si="1"/>
        <v>1.572159969088099</v>
      </c>
      <c r="K24" s="40">
        <f>IF(Input_Adjustments!D23="",0,Input_Adjustments!D23)</f>
        <v>905</v>
      </c>
      <c r="L24" s="40">
        <f>IF(Input_Adjustments!F23="",0,Input_Adjustments!F23)*(1-$E$4)</f>
        <v>359.25</v>
      </c>
      <c r="M24" s="40">
        <f>IF(Input_Adjustments!G23="",0,Input_Adjustments!G23)*(1-$E$4)</f>
        <v>0</v>
      </c>
      <c r="N24" s="40">
        <f>IF(Input_Adjustments!H23="",0,Input_Adjustments!H23)*$H$4</f>
        <v>0</v>
      </c>
      <c r="O24" s="40">
        <f>-Input_Finanzen!H23*$K$4</f>
        <v>-3036</v>
      </c>
      <c r="P24" s="40">
        <f t="shared" si="2"/>
        <v>9170.25</v>
      </c>
      <c r="Q24" s="41">
        <f t="shared" si="3"/>
        <v>1.1811244204018547</v>
      </c>
      <c r="R24" s="42">
        <f>IF(Input_Adjustments!D23="",0,Input_Adjustments!D23)</f>
        <v>905</v>
      </c>
      <c r="S24" s="42">
        <f>IF(Input_Adjustments!H23="",0,Input_Adjustments!H23)*$H$4</f>
        <v>0</v>
      </c>
      <c r="T24" s="42">
        <f t="shared" si="4"/>
        <v>11847</v>
      </c>
      <c r="U24" s="43">
        <f t="shared" si="5"/>
        <v>1.5258887171561051</v>
      </c>
      <c r="V24" s="43">
        <f>IFERROR((T24-Input_Finanzen!H23)/E24,"n/a")</f>
        <v>1.1348531684698608</v>
      </c>
      <c r="W24" s="44">
        <f>IFERROR(Input_Finanzen!I23/Input_Finanzen!L23,"n/a")</f>
        <v>1.0552589428723973</v>
      </c>
      <c r="X24" s="44">
        <f t="shared" si="6"/>
        <v>0.39103554868624424</v>
      </c>
    </row>
    <row r="25" spans="1:24" x14ac:dyDescent="0.2">
      <c r="A25" s="19" t="s">
        <v>139</v>
      </c>
      <c r="B25" s="36" t="str">
        <f>Input_Finanzen!B24</f>
        <v>Baker Hughes</v>
      </c>
      <c r="C25" s="31" t="s">
        <v>137</v>
      </c>
      <c r="D25" s="37">
        <f>Input_Finanzen!G24</f>
        <v>6087</v>
      </c>
      <c r="E25" s="37">
        <f>Input_Adjustments!L24</f>
        <v>4309</v>
      </c>
      <c r="F25" s="38">
        <f>IF(Input_Adjustments!D24="",0,Input_Adjustments!D24)</f>
        <v>615</v>
      </c>
      <c r="G25" s="38">
        <f>IF(Input_Adjustments!F24="",0,Input_Adjustments!F24)*(1-$E$4)</f>
        <v>799.5</v>
      </c>
      <c r="H25" s="38">
        <f>IF(Input_Adjustments!H24="",0,Input_Adjustments!H24)*$H$4</f>
        <v>0</v>
      </c>
      <c r="I25" s="38">
        <f t="shared" si="0"/>
        <v>7501.5</v>
      </c>
      <c r="J25" s="39">
        <f t="shared" si="1"/>
        <v>1.7408911580413089</v>
      </c>
      <c r="K25" s="40">
        <f>IF(Input_Adjustments!D24="",0,Input_Adjustments!D24)</f>
        <v>615</v>
      </c>
      <c r="L25" s="40">
        <f>IF(Input_Adjustments!F24="",0,Input_Adjustments!F24)*(1-$E$4)</f>
        <v>799.5</v>
      </c>
      <c r="M25" s="40">
        <f>IF(Input_Adjustments!G24="",0,Input_Adjustments!G24)*(1-$E$4)</f>
        <v>0</v>
      </c>
      <c r="N25" s="40">
        <f>IF(Input_Adjustments!H24="",0,Input_Adjustments!H24)*$H$4</f>
        <v>0</v>
      </c>
      <c r="O25" s="40">
        <f>-Input_Finanzen!H24*$K$4</f>
        <v>-3715</v>
      </c>
      <c r="P25" s="40">
        <f t="shared" si="2"/>
        <v>3786.5</v>
      </c>
      <c r="Q25" s="41">
        <f t="shared" si="3"/>
        <v>0.87874216755627754</v>
      </c>
      <c r="R25" s="42">
        <f>IF(Input_Adjustments!D24="",0,Input_Adjustments!D24)</f>
        <v>615</v>
      </c>
      <c r="S25" s="42">
        <f>IF(Input_Adjustments!H24="",0,Input_Adjustments!H24)*$H$4</f>
        <v>0</v>
      </c>
      <c r="T25" s="42">
        <f t="shared" si="4"/>
        <v>6702</v>
      </c>
      <c r="U25" s="43">
        <f t="shared" si="5"/>
        <v>1.5553492689719193</v>
      </c>
      <c r="V25" s="43">
        <f>IFERROR((T25-Input_Finanzen!H24)/E25,"n/a")</f>
        <v>0.69320027848688792</v>
      </c>
      <c r="W25" s="44">
        <f>IFERROR(Input_Finanzen!I24/Input_Finanzen!L24,"n/a")</f>
        <v>0.5533006764637276</v>
      </c>
      <c r="X25" s="44">
        <f t="shared" si="6"/>
        <v>0.86214899048503135</v>
      </c>
    </row>
    <row r="26" spans="1:24" x14ac:dyDescent="0.2">
      <c r="A26" s="19" t="s">
        <v>141</v>
      </c>
      <c r="B26" s="36" t="str">
        <f>Input_Finanzen!B25</f>
        <v>Halliburton</v>
      </c>
      <c r="C26" s="31" t="s">
        <v>137</v>
      </c>
      <c r="D26" s="37">
        <f>Input_Finanzen!G25</f>
        <v>7158</v>
      </c>
      <c r="E26" s="37">
        <f>Input_Adjustments!L25</f>
        <v>3446</v>
      </c>
      <c r="F26" s="38">
        <f>IF(Input_Adjustments!D25="",0,Input_Adjustments!D25)</f>
        <v>975</v>
      </c>
      <c r="G26" s="38">
        <f>IF(Input_Adjustments!F25="",0,Input_Adjustments!F25)*(1-$E$4)</f>
        <v>0</v>
      </c>
      <c r="H26" s="38">
        <f>IF(Input_Adjustments!H25="",0,Input_Adjustments!H25)*$H$4</f>
        <v>0</v>
      </c>
      <c r="I26" s="38">
        <f t="shared" si="0"/>
        <v>8133</v>
      </c>
      <c r="J26" s="39">
        <f t="shared" si="1"/>
        <v>2.3601276842716192</v>
      </c>
      <c r="K26" s="40">
        <f>IF(Input_Adjustments!D25="",0,Input_Adjustments!D25)</f>
        <v>975</v>
      </c>
      <c r="L26" s="40">
        <f>IF(Input_Adjustments!F25="",0,Input_Adjustments!F25)*(1-$E$4)</f>
        <v>0</v>
      </c>
      <c r="M26" s="40">
        <f>IF(Input_Adjustments!G25="",0,Input_Adjustments!G25)*(1-$E$4)</f>
        <v>0</v>
      </c>
      <c r="N26" s="40">
        <f>IF(Input_Adjustments!H25="",0,Input_Adjustments!H25)*$H$4</f>
        <v>0</v>
      </c>
      <c r="O26" s="40">
        <f>-Input_Finanzen!H25*$K$4</f>
        <v>-2206</v>
      </c>
      <c r="P26" s="40">
        <f t="shared" si="2"/>
        <v>5927</v>
      </c>
      <c r="Q26" s="41">
        <f t="shared" si="3"/>
        <v>1.7199651770168312</v>
      </c>
      <c r="R26" s="42">
        <f>IF(Input_Adjustments!D25="",0,Input_Adjustments!D25)</f>
        <v>975</v>
      </c>
      <c r="S26" s="42">
        <f>IF(Input_Adjustments!H25="",0,Input_Adjustments!H25)*$H$4</f>
        <v>0</v>
      </c>
      <c r="T26" s="42">
        <f t="shared" si="4"/>
        <v>8133</v>
      </c>
      <c r="U26" s="43">
        <f t="shared" si="5"/>
        <v>2.3601276842716192</v>
      </c>
      <c r="V26" s="43">
        <f>IFERROR((T26-Input_Finanzen!H25)/E26,"n/a")</f>
        <v>1.7199651770168312</v>
      </c>
      <c r="W26" s="44">
        <f>IFERROR(Input_Finanzen!I25/Input_Finanzen!L25,"n/a")</f>
        <v>1.4581861012956419</v>
      </c>
      <c r="X26" s="44">
        <f t="shared" si="6"/>
        <v>0.64016250725478807</v>
      </c>
    </row>
    <row r="28" spans="1:24" x14ac:dyDescent="0.2">
      <c r="A28" s="12" t="s">
        <v>229</v>
      </c>
      <c r="B28" s="12" t="s">
        <v>230</v>
      </c>
      <c r="C28" s="45"/>
      <c r="D28" s="46">
        <f t="shared" ref="D28:X28" si="7">IFERROR(MEDIAN(D7:D26),"n/a")</f>
        <v>15960.7</v>
      </c>
      <c r="E28" s="46">
        <f t="shared" si="7"/>
        <v>7617</v>
      </c>
      <c r="F28" s="46">
        <f t="shared" si="7"/>
        <v>760</v>
      </c>
      <c r="G28" s="46">
        <f t="shared" si="7"/>
        <v>67.125</v>
      </c>
      <c r="H28" s="46">
        <f t="shared" si="7"/>
        <v>0</v>
      </c>
      <c r="I28" s="46">
        <f t="shared" si="7"/>
        <v>16017.6</v>
      </c>
      <c r="J28" s="47">
        <f t="shared" si="7"/>
        <v>1.5906482576364189</v>
      </c>
      <c r="K28" s="46">
        <f t="shared" si="7"/>
        <v>760</v>
      </c>
      <c r="L28" s="46">
        <f t="shared" si="7"/>
        <v>67.125</v>
      </c>
      <c r="M28" s="46">
        <f t="shared" si="7"/>
        <v>473.625</v>
      </c>
      <c r="N28" s="46">
        <f t="shared" si="7"/>
        <v>0</v>
      </c>
      <c r="O28" s="46">
        <f t="shared" si="7"/>
        <v>-1676</v>
      </c>
      <c r="P28" s="46">
        <f t="shared" si="7"/>
        <v>16155.325000000001</v>
      </c>
      <c r="Q28" s="47">
        <f t="shared" si="7"/>
        <v>1.4250883202239466</v>
      </c>
      <c r="R28" s="46">
        <f t="shared" si="7"/>
        <v>760</v>
      </c>
      <c r="S28" s="46">
        <f t="shared" si="7"/>
        <v>0</v>
      </c>
      <c r="T28" s="46">
        <f t="shared" si="7"/>
        <v>16017.6</v>
      </c>
      <c r="U28" s="47">
        <f t="shared" si="7"/>
        <v>1.5406189930640122</v>
      </c>
      <c r="V28" s="47">
        <f t="shared" si="7"/>
        <v>1.1983884169175631</v>
      </c>
      <c r="W28" s="47">
        <f t="shared" si="7"/>
        <v>1.1854758969034254</v>
      </c>
      <c r="X28" s="47">
        <f t="shared" si="7"/>
        <v>9.9896825392352118E-2</v>
      </c>
    </row>
    <row r="29" spans="1:24" x14ac:dyDescent="0.2">
      <c r="A29" s="48" t="s">
        <v>229</v>
      </c>
      <c r="B29" s="48" t="s">
        <v>231</v>
      </c>
      <c r="C29" s="49"/>
      <c r="D29" s="24">
        <f t="shared" ref="D29:X29" si="8">IFERROR(MEDIAN(D7:D8),"n/a")</f>
        <v>47118</v>
      </c>
      <c r="E29" s="24">
        <f t="shared" si="8"/>
        <v>57188.5</v>
      </c>
      <c r="F29" s="24">
        <f t="shared" si="8"/>
        <v>6409.5</v>
      </c>
      <c r="G29" s="24">
        <f t="shared" si="8"/>
        <v>4859.25</v>
      </c>
      <c r="H29" s="24">
        <f t="shared" si="8"/>
        <v>0</v>
      </c>
      <c r="I29" s="24">
        <f t="shared" si="8"/>
        <v>58386.75</v>
      </c>
      <c r="J29" s="50">
        <f t="shared" si="8"/>
        <v>1.089058221296237</v>
      </c>
      <c r="K29" s="24">
        <f t="shared" si="8"/>
        <v>6409.5</v>
      </c>
      <c r="L29" s="24">
        <f t="shared" si="8"/>
        <v>4859.25</v>
      </c>
      <c r="M29" s="24">
        <f t="shared" si="8"/>
        <v>10314.75</v>
      </c>
      <c r="N29" s="24">
        <f t="shared" si="8"/>
        <v>0</v>
      </c>
      <c r="O29" s="24">
        <f t="shared" si="8"/>
        <v>-8983</v>
      </c>
      <c r="P29" s="24">
        <f t="shared" si="8"/>
        <v>59718.5</v>
      </c>
      <c r="Q29" s="50">
        <f t="shared" si="8"/>
        <v>1.1254033605393299</v>
      </c>
      <c r="R29" s="24">
        <f t="shared" si="8"/>
        <v>6409.5</v>
      </c>
      <c r="S29" s="24">
        <f t="shared" si="8"/>
        <v>0</v>
      </c>
      <c r="T29" s="24">
        <f t="shared" si="8"/>
        <v>53527.5</v>
      </c>
      <c r="U29" s="50">
        <f t="shared" si="8"/>
        <v>1.0068114418375944</v>
      </c>
      <c r="V29" s="50">
        <f t="shared" si="8"/>
        <v>0.84773299602737096</v>
      </c>
      <c r="W29" s="50">
        <f t="shared" si="8"/>
        <v>0.77032605473542914</v>
      </c>
      <c r="X29" s="50">
        <f t="shared" si="8"/>
        <v>0.12771072778879622</v>
      </c>
    </row>
    <row r="30" spans="1:24" x14ac:dyDescent="0.2">
      <c r="A30" s="48" t="s">
        <v>229</v>
      </c>
      <c r="B30" s="48" t="s">
        <v>232</v>
      </c>
      <c r="C30" s="51"/>
      <c r="D30" s="24">
        <f t="shared" ref="D30:X30" si="9">IFERROR(MEDIAN(D9:D16),"n/a")</f>
        <v>8162.5</v>
      </c>
      <c r="E30" s="24">
        <f t="shared" si="9"/>
        <v>8884</v>
      </c>
      <c r="F30" s="24">
        <f t="shared" si="9"/>
        <v>232</v>
      </c>
      <c r="G30" s="24">
        <f t="shared" si="9"/>
        <v>3.75</v>
      </c>
      <c r="H30" s="24">
        <f t="shared" si="9"/>
        <v>0</v>
      </c>
      <c r="I30" s="24">
        <f t="shared" si="9"/>
        <v>8963.375</v>
      </c>
      <c r="J30" s="50">
        <f t="shared" si="9"/>
        <v>1.0542308668778517</v>
      </c>
      <c r="K30" s="24">
        <f t="shared" si="9"/>
        <v>232</v>
      </c>
      <c r="L30" s="24">
        <f t="shared" si="9"/>
        <v>3.75</v>
      </c>
      <c r="M30" s="24">
        <f t="shared" si="9"/>
        <v>722.0625</v>
      </c>
      <c r="N30" s="24">
        <f t="shared" si="9"/>
        <v>0</v>
      </c>
      <c r="O30" s="24">
        <f t="shared" si="9"/>
        <v>-1000</v>
      </c>
      <c r="P30" s="24">
        <f t="shared" si="9"/>
        <v>8309.8875000000007</v>
      </c>
      <c r="Q30" s="50">
        <f t="shared" si="9"/>
        <v>1.0047571055817823</v>
      </c>
      <c r="R30" s="24">
        <f t="shared" si="9"/>
        <v>232</v>
      </c>
      <c r="S30" s="24">
        <f t="shared" si="9"/>
        <v>0</v>
      </c>
      <c r="T30" s="24">
        <f t="shared" si="9"/>
        <v>8900</v>
      </c>
      <c r="U30" s="50">
        <f t="shared" si="9"/>
        <v>1.031898460379135</v>
      </c>
      <c r="V30" s="50">
        <f t="shared" si="9"/>
        <v>0.87527038465155649</v>
      </c>
      <c r="W30" s="50">
        <f t="shared" si="9"/>
        <v>0.86636983418246294</v>
      </c>
      <c r="X30" s="50">
        <f t="shared" si="9"/>
        <v>6.0722366530089222E-2</v>
      </c>
    </row>
    <row r="31" spans="1:24" x14ac:dyDescent="0.2">
      <c r="A31" s="48" t="s">
        <v>229</v>
      </c>
      <c r="B31" s="48" t="s">
        <v>233</v>
      </c>
      <c r="C31" s="52"/>
      <c r="D31" s="24">
        <f t="shared" ref="D31:X31" si="10">IFERROR(MEDIAN(D17:D20),"n/a")</f>
        <v>30328.5</v>
      </c>
      <c r="E31" s="24">
        <f t="shared" si="10"/>
        <v>6943.5</v>
      </c>
      <c r="F31" s="24">
        <f t="shared" si="10"/>
        <v>199.5</v>
      </c>
      <c r="G31" s="24">
        <f t="shared" si="10"/>
        <v>0</v>
      </c>
      <c r="H31" s="24">
        <f t="shared" si="10"/>
        <v>0</v>
      </c>
      <c r="I31" s="24">
        <f t="shared" si="10"/>
        <v>30540.25</v>
      </c>
      <c r="J31" s="50">
        <f t="shared" si="10"/>
        <v>4.3418011495070026</v>
      </c>
      <c r="K31" s="24">
        <f t="shared" si="10"/>
        <v>199.5</v>
      </c>
      <c r="L31" s="24">
        <f t="shared" si="10"/>
        <v>0</v>
      </c>
      <c r="M31" s="24">
        <f t="shared" si="10"/>
        <v>165.15</v>
      </c>
      <c r="N31" s="24">
        <f t="shared" si="10"/>
        <v>0</v>
      </c>
      <c r="O31" s="24">
        <f t="shared" si="10"/>
        <v>-70.5</v>
      </c>
      <c r="P31" s="24">
        <f t="shared" si="10"/>
        <v>31446.875</v>
      </c>
      <c r="Q31" s="50">
        <f t="shared" si="10"/>
        <v>4.4745683424386105</v>
      </c>
      <c r="R31" s="24">
        <f t="shared" si="10"/>
        <v>199.5</v>
      </c>
      <c r="S31" s="24">
        <f t="shared" si="10"/>
        <v>0</v>
      </c>
      <c r="T31" s="24">
        <f t="shared" si="10"/>
        <v>30540.25</v>
      </c>
      <c r="U31" s="50">
        <f t="shared" si="10"/>
        <v>4.3418011495070026</v>
      </c>
      <c r="V31" s="50">
        <f t="shared" si="10"/>
        <v>4.3317979230125623</v>
      </c>
      <c r="W31" s="50">
        <f t="shared" si="10"/>
        <v>4.3851132933560555</v>
      </c>
      <c r="X31" s="50">
        <f t="shared" si="10"/>
        <v>1.4409343077625536E-2</v>
      </c>
    </row>
    <row r="32" spans="1:24" x14ac:dyDescent="0.2">
      <c r="A32" s="48" t="s">
        <v>229</v>
      </c>
      <c r="B32" s="48" t="s">
        <v>234</v>
      </c>
      <c r="C32" s="53"/>
      <c r="D32" s="24">
        <f t="shared" ref="D32:X32" si="11">IFERROR(MEDIAN(D21:D23),"n/a")</f>
        <v>19716</v>
      </c>
      <c r="E32" s="24">
        <f t="shared" si="11"/>
        <v>10056</v>
      </c>
      <c r="F32" s="24">
        <f t="shared" si="11"/>
        <v>1482</v>
      </c>
      <c r="G32" s="24">
        <f t="shared" si="11"/>
        <v>429.75</v>
      </c>
      <c r="H32" s="24">
        <f t="shared" si="11"/>
        <v>0</v>
      </c>
      <c r="I32" s="24">
        <f t="shared" si="11"/>
        <v>22015.75</v>
      </c>
      <c r="J32" s="50">
        <f t="shared" si="11"/>
        <v>2.1893148369132858</v>
      </c>
      <c r="K32" s="24">
        <f t="shared" si="11"/>
        <v>1482</v>
      </c>
      <c r="L32" s="24">
        <f t="shared" si="11"/>
        <v>429.75</v>
      </c>
      <c r="M32" s="24">
        <f t="shared" si="11"/>
        <v>286.5</v>
      </c>
      <c r="N32" s="24">
        <f t="shared" si="11"/>
        <v>0</v>
      </c>
      <c r="O32" s="24">
        <f t="shared" si="11"/>
        <v>-3672</v>
      </c>
      <c r="P32" s="24">
        <f t="shared" si="11"/>
        <v>21440.5</v>
      </c>
      <c r="Q32" s="50">
        <f t="shared" si="11"/>
        <v>2.1321101829753379</v>
      </c>
      <c r="R32" s="24">
        <f t="shared" si="11"/>
        <v>1482</v>
      </c>
      <c r="S32" s="24">
        <f t="shared" si="11"/>
        <v>0</v>
      </c>
      <c r="T32" s="24">
        <f t="shared" si="11"/>
        <v>21586</v>
      </c>
      <c r="U32" s="50">
        <f t="shared" si="11"/>
        <v>2.1465791567223547</v>
      </c>
      <c r="V32" s="50">
        <f t="shared" si="11"/>
        <v>2.0356006364359587</v>
      </c>
      <c r="W32" s="50">
        <f t="shared" si="11"/>
        <v>1.9238725693007861</v>
      </c>
      <c r="X32" s="50">
        <f t="shared" si="11"/>
        <v>0.31100671140939617</v>
      </c>
    </row>
    <row r="33" spans="1:24" x14ac:dyDescent="0.2">
      <c r="A33" s="48" t="s">
        <v>229</v>
      </c>
      <c r="B33" s="48" t="s">
        <v>235</v>
      </c>
      <c r="C33" s="54"/>
      <c r="D33" s="24">
        <f t="shared" ref="D33:X33" si="12">IFERROR(MEDIAN(D24:D26),"n/a")</f>
        <v>7158</v>
      </c>
      <c r="E33" s="24">
        <f t="shared" si="12"/>
        <v>4309</v>
      </c>
      <c r="F33" s="24">
        <f t="shared" si="12"/>
        <v>905</v>
      </c>
      <c r="G33" s="24">
        <f t="shared" si="12"/>
        <v>359.25</v>
      </c>
      <c r="H33" s="24">
        <f t="shared" si="12"/>
        <v>0</v>
      </c>
      <c r="I33" s="24">
        <f t="shared" si="12"/>
        <v>8133</v>
      </c>
      <c r="J33" s="50">
        <f t="shared" si="12"/>
        <v>1.7408911580413089</v>
      </c>
      <c r="K33" s="24">
        <f t="shared" si="12"/>
        <v>905</v>
      </c>
      <c r="L33" s="24">
        <f t="shared" si="12"/>
        <v>359.25</v>
      </c>
      <c r="M33" s="24">
        <f t="shared" si="12"/>
        <v>0</v>
      </c>
      <c r="N33" s="24">
        <f t="shared" si="12"/>
        <v>0</v>
      </c>
      <c r="O33" s="24">
        <f t="shared" si="12"/>
        <v>-3036</v>
      </c>
      <c r="P33" s="24">
        <f t="shared" si="12"/>
        <v>5927</v>
      </c>
      <c r="Q33" s="50">
        <f t="shared" si="12"/>
        <v>1.1811244204018547</v>
      </c>
      <c r="R33" s="24">
        <f t="shared" si="12"/>
        <v>905</v>
      </c>
      <c r="S33" s="24">
        <f t="shared" si="12"/>
        <v>0</v>
      </c>
      <c r="T33" s="24">
        <f t="shared" si="12"/>
        <v>8133</v>
      </c>
      <c r="U33" s="50">
        <f t="shared" si="12"/>
        <v>1.5553492689719193</v>
      </c>
      <c r="V33" s="50">
        <f t="shared" si="12"/>
        <v>1.1348531684698608</v>
      </c>
      <c r="W33" s="50">
        <f t="shared" si="12"/>
        <v>1.0552589428723973</v>
      </c>
      <c r="X33" s="50">
        <f t="shared" si="12"/>
        <v>0.64016250725478807</v>
      </c>
    </row>
    <row r="35" spans="1:24" ht="15.75" customHeight="1" x14ac:dyDescent="0.2">
      <c r="A35" s="11" t="s">
        <v>236</v>
      </c>
      <c r="B35" s="5" t="s">
        <v>237</v>
      </c>
      <c r="C35" s="5"/>
      <c r="D35" s="5"/>
      <c r="E35" s="5"/>
      <c r="F35" s="5"/>
      <c r="G35" s="5"/>
      <c r="H35" s="5"/>
      <c r="I35" s="5"/>
      <c r="J35" s="5"/>
      <c r="K35" s="5"/>
      <c r="L35" s="5"/>
      <c r="M35" s="5"/>
      <c r="N35" s="5"/>
      <c r="O35" s="5"/>
      <c r="P35" s="5"/>
      <c r="Q35" s="5"/>
      <c r="R35" s="5"/>
      <c r="S35" s="5"/>
      <c r="T35" s="5"/>
      <c r="U35" s="5"/>
      <c r="V35" s="5"/>
      <c r="W35" s="5"/>
      <c r="X35" s="5"/>
    </row>
    <row r="36" spans="1:24" x14ac:dyDescent="0.2">
      <c r="B36" s="5"/>
      <c r="C36" s="5"/>
      <c r="D36" s="5"/>
      <c r="E36" s="5"/>
      <c r="F36" s="5"/>
      <c r="G36" s="5"/>
      <c r="H36" s="5"/>
      <c r="I36" s="5"/>
      <c r="J36" s="5"/>
      <c r="K36" s="5"/>
      <c r="L36" s="5"/>
      <c r="M36" s="5"/>
      <c r="N36" s="5"/>
      <c r="O36" s="5"/>
      <c r="P36" s="5"/>
      <c r="Q36" s="5"/>
      <c r="R36" s="5"/>
      <c r="S36" s="5"/>
      <c r="T36" s="5"/>
      <c r="U36" s="5"/>
      <c r="V36" s="5"/>
      <c r="W36" s="5"/>
      <c r="X36" s="5"/>
    </row>
    <row r="37" spans="1:24" x14ac:dyDescent="0.2">
      <c r="B37" s="5"/>
      <c r="C37" s="5"/>
      <c r="D37" s="5"/>
      <c r="E37" s="5"/>
      <c r="F37" s="5"/>
      <c r="G37" s="5"/>
      <c r="H37" s="5"/>
      <c r="I37" s="5"/>
      <c r="J37" s="5"/>
      <c r="K37" s="5"/>
      <c r="L37" s="5"/>
      <c r="M37" s="5"/>
      <c r="N37" s="5"/>
      <c r="O37" s="5"/>
      <c r="P37" s="5"/>
      <c r="Q37" s="5"/>
      <c r="R37" s="5"/>
      <c r="S37" s="5"/>
      <c r="T37" s="5"/>
      <c r="U37" s="5"/>
      <c r="V37" s="5"/>
      <c r="W37" s="5"/>
      <c r="X37" s="5"/>
    </row>
  </sheetData>
  <mergeCells count="5">
    <mergeCell ref="F5:J5"/>
    <mergeCell ref="K5:Q5"/>
    <mergeCell ref="R5:V5"/>
    <mergeCell ref="W5:X5"/>
    <mergeCell ref="B35:X3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V36"/>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x14ac:dyDescent="0.2"/>
  <cols>
    <col min="1" max="1" width="10" customWidth="1"/>
    <col min="2" max="2" width="22" customWidth="1"/>
    <col min="3" max="4" width="11" customWidth="1"/>
    <col min="5" max="7" width="12" customWidth="1"/>
    <col min="8" max="9" width="11" customWidth="1"/>
    <col min="10" max="10" width="10" customWidth="1"/>
    <col min="11" max="12" width="11" customWidth="1"/>
    <col min="13" max="13" width="12" customWidth="1"/>
    <col min="14" max="14" width="11" customWidth="1"/>
    <col min="15" max="17" width="13" customWidth="1"/>
    <col min="18" max="20" width="12" customWidth="1"/>
    <col min="21" max="21" width="10" customWidth="1"/>
    <col min="22" max="22" width="12" customWidth="1"/>
  </cols>
  <sheetData>
    <row r="2" spans="1:22" ht="18" x14ac:dyDescent="0.2">
      <c r="A2" s="6" t="s">
        <v>238</v>
      </c>
    </row>
    <row r="3" spans="1:22" x14ac:dyDescent="0.2">
      <c r="A3" s="7" t="s">
        <v>239</v>
      </c>
    </row>
    <row r="5" spans="1:22" ht="39.75" customHeight="1" x14ac:dyDescent="0.2">
      <c r="A5" s="18" t="s">
        <v>58</v>
      </c>
      <c r="B5" s="18" t="s">
        <v>59</v>
      </c>
      <c r="C5" s="18" t="s">
        <v>60</v>
      </c>
      <c r="D5" s="18" t="s">
        <v>240</v>
      </c>
      <c r="E5" s="18" t="s">
        <v>241</v>
      </c>
      <c r="F5" s="18" t="s">
        <v>242</v>
      </c>
      <c r="G5" s="18" t="s">
        <v>243</v>
      </c>
      <c r="H5" s="18" t="s">
        <v>244</v>
      </c>
      <c r="I5" s="18" t="s">
        <v>245</v>
      </c>
      <c r="J5" s="18" t="s">
        <v>246</v>
      </c>
      <c r="K5" s="18" t="s">
        <v>247</v>
      </c>
      <c r="L5" s="18" t="s">
        <v>248</v>
      </c>
      <c r="M5" s="18" t="s">
        <v>249</v>
      </c>
      <c r="N5" s="18" t="s">
        <v>250</v>
      </c>
      <c r="O5" s="18" t="s">
        <v>177</v>
      </c>
      <c r="P5" s="18" t="s">
        <v>179</v>
      </c>
      <c r="Q5" s="18" t="s">
        <v>180</v>
      </c>
      <c r="R5" s="18" t="s">
        <v>251</v>
      </c>
      <c r="S5" s="18" t="s">
        <v>252</v>
      </c>
      <c r="T5" s="18" t="s">
        <v>253</v>
      </c>
      <c r="U5" s="18" t="s">
        <v>43</v>
      </c>
      <c r="V5" s="18" t="s">
        <v>254</v>
      </c>
    </row>
    <row r="6" spans="1:22" x14ac:dyDescent="0.2">
      <c r="A6" s="19" t="s">
        <v>82</v>
      </c>
      <c r="B6" s="36" t="str">
        <f>Input_Finanzen!B6</f>
        <v>Exxon Mobil Corp.</v>
      </c>
      <c r="C6" s="21" t="s">
        <v>84</v>
      </c>
      <c r="D6" s="55">
        <f>IFERROR(Input_Finanzen!I6/Input_Finanzen!L6,"n/a")</f>
        <v>0.4841447601084522</v>
      </c>
      <c r="E6" s="55">
        <f>IFERROR(Input_Finanzen!L6/Input_Finanzen!M6,"n/a")</f>
        <v>112.54394693200663</v>
      </c>
      <c r="F6" s="55">
        <f>IFERROR(Input_Finanzen!J6/Input_Finanzen!M6,"n/a")</f>
        <v>69.437810945273625</v>
      </c>
      <c r="G6" s="56">
        <f>IFERROR(Input_Finanzen!P6,"n/a")</f>
        <v>23612</v>
      </c>
      <c r="H6" s="57">
        <f>IF(Input_Finanzen!I6&lt;=0,"n.m.",IFERROR(Input_Finanzen!P6/Input_Finanzen!I6,"n/a"))</f>
        <v>0.71865108351594842</v>
      </c>
      <c r="I6" s="57">
        <f>IFERROR(Input_Finanzen!P6/Input_Finanzen!G6,"n/a")</f>
        <v>0.54234329420952299</v>
      </c>
      <c r="J6" s="55">
        <f>IFERROR(Input_Finanzen!O6/Input_Finanzen!K6,"n/a")</f>
        <v>1.0909860347016505</v>
      </c>
      <c r="K6" s="56">
        <f>IFERROR(IF(Input_Finanzen!Q6="",0,Input_Finanzen!Q6)+IF(Input_Finanzen!R6="",0,Input_Finanzen!R6),"n/a")</f>
        <v>37504</v>
      </c>
      <c r="L6" s="57">
        <f>IF(Input_Finanzen!P6&lt;=0,"n.m.",IFERROR(K6/Input_Finanzen!P6,"n/a"))</f>
        <v>1.5883449093681179</v>
      </c>
      <c r="M6" s="56">
        <f>IF(Input_Finanzen!T6="","n/v",Input_Finanzen!T6)</f>
        <v>11796</v>
      </c>
      <c r="N6" s="57">
        <f>IF(Input_Finanzen!T6="","n/v",IFERROR(Input_Finanzen!T6/Input_Finanzen!G6,"n/a"))</f>
        <v>0.27094195741553162</v>
      </c>
      <c r="O6" s="58" t="str">
        <f>IF(Input_Ratings!E6="","n/v",Input_Ratings!E6&amp;" ("&amp;Input_Ratings!F6&amp;")")</f>
        <v>Aa2 (stable)</v>
      </c>
      <c r="P6" s="58" t="str">
        <f>IF(Input_Ratings!G6="","n/v",Input_Ratings!G6&amp;" ("&amp;Input_Ratings!H6&amp;")")</f>
        <v>AA- (positive)</v>
      </c>
      <c r="Q6" s="58" t="str">
        <f>IF(Input_Ratings!I6="","n/v",Input_Ratings!I6&amp;IF(Input_Ratings!J6=""," "," ("&amp;Input_Ratings!J6&amp;")"))</f>
        <v xml:space="preserve">n.r. </v>
      </c>
      <c r="R6" s="59">
        <f>Agentur_Bruecke!J7</f>
        <v>0.8043777338789333</v>
      </c>
      <c r="S6" s="59">
        <f>Agentur_Bruecke!Q7</f>
        <v>0.78614011570481168</v>
      </c>
      <c r="T6" s="59">
        <f>Agentur_Bruecke!U7</f>
        <v>0.71075208127557499</v>
      </c>
      <c r="U6" s="57">
        <f>IFERROR(Input_Finanzen!J6*(1-Input_Finanzen!U6)/(Input_Finanzen!G6+Input_Finanzen!S6),"n/a")</f>
        <v>9.7364630167253483E-2</v>
      </c>
      <c r="V6" s="60">
        <f>IF(OR(Input_Finanzen!V6="",Input_Finanzen!W6=""),"n/v",IFERROR(Input_Finanzen!V6/Input_Finanzen!W6,"n/a"))</f>
        <v>9.615384615384615</v>
      </c>
    </row>
    <row r="7" spans="1:22" x14ac:dyDescent="0.2">
      <c r="A7" s="19" t="s">
        <v>87</v>
      </c>
      <c r="B7" s="36" t="str">
        <f>Input_Finanzen!B7</f>
        <v>Chevron Corp.</v>
      </c>
      <c r="C7" s="21" t="s">
        <v>84</v>
      </c>
      <c r="D7" s="55">
        <f>IFERROR(Input_Finanzen!I7/Input_Finanzen!L7,"n/a")</f>
        <v>1.0565073493624062</v>
      </c>
      <c r="E7" s="55">
        <f>IFERROR(Input_Finanzen!L7/Input_Finanzen!M7,"n/a")</f>
        <v>33.764995891536564</v>
      </c>
      <c r="F7" s="55">
        <f>IFERROR(Input_Finanzen!J7/Input_Finanzen!M7,"n/a")</f>
        <v>17.222678718159408</v>
      </c>
      <c r="G7" s="56">
        <f>IFERROR(Input_Finanzen!P7,"n/a")</f>
        <v>16592</v>
      </c>
      <c r="H7" s="57">
        <f>IF(Input_Finanzen!I7&lt;=0,"n.m.",IFERROR(Input_Finanzen!P7/Input_Finanzen!I7,"n/a"))</f>
        <v>0.382180863315981</v>
      </c>
      <c r="I7" s="57">
        <f>IFERROR(Input_Finanzen!P7/Input_Finanzen!G7,"n/a")</f>
        <v>0.32726483757076075</v>
      </c>
      <c r="J7" s="55">
        <f>IFERROR(Input_Finanzen!O7/Input_Finanzen!K7,"n/a")</f>
        <v>0.86166302404132722</v>
      </c>
      <c r="K7" s="56">
        <f>IFERROR(IF(Input_Finanzen!Q7="",0,Input_Finanzen!Q7)+IF(Input_Finanzen!R7="",0,Input_Finanzen!R7),"n/a")</f>
        <v>24830</v>
      </c>
      <c r="L7" s="57">
        <f>IF(Input_Finanzen!P7&lt;=0,"n.m.",IFERROR(K7/Input_Finanzen!P7,"n/a"))</f>
        <v>1.4965043394406943</v>
      </c>
      <c r="M7" s="56">
        <f>IF(Input_Finanzen!T7="","n/v",Input_Finanzen!T7)</f>
        <v>16641</v>
      </c>
      <c r="N7" s="57">
        <f>IF(Input_Finanzen!T7="","n/v",IFERROR(Input_Finanzen!T7/Input_Finanzen!G7,"n/a"))</f>
        <v>0.328231326061658</v>
      </c>
      <c r="O7" s="58" t="str">
        <f>IF(Input_Ratings!E7="","n/v",Input_Ratings!E7&amp;" ("&amp;Input_Ratings!F7&amp;")")</f>
        <v>Aa2 (stable)</v>
      </c>
      <c r="P7" s="58" t="str">
        <f>IF(Input_Ratings!G7="","n/v",Input_Ratings!G7&amp;" ("&amp;Input_Ratings!H7&amp;")")</f>
        <v>AA- (stable)</v>
      </c>
      <c r="Q7" s="58" t="str">
        <f>IF(Input_Ratings!I7="","n/v",Input_Ratings!I7&amp;IF(Input_Ratings!J7=""," "," ("&amp;Input_Ratings!J7&amp;")"))</f>
        <v xml:space="preserve">n.r. </v>
      </c>
      <c r="R7" s="59">
        <f>Agentur_Bruecke!J8</f>
        <v>1.3737387087135404</v>
      </c>
      <c r="S7" s="59">
        <f>Agentur_Bruecke!Q8</f>
        <v>1.464666605373848</v>
      </c>
      <c r="T7" s="59">
        <f>Agentur_Bruecke!U8</f>
        <v>1.3028708023996138</v>
      </c>
      <c r="U7" s="57">
        <f>IFERROR(Input_Finanzen!J7*(1-Input_Finanzen!U7)/(Input_Finanzen!G7+Input_Finanzen!S7),"n/a")</f>
        <v>5.4573758645220023E-2</v>
      </c>
      <c r="V7" s="60">
        <f>IF(OR(Input_Finanzen!V7="",Input_Finanzen!W7=""),"n/v",IFERROR(Input_Finanzen!V7/Input_Finanzen!W7,"n/a"))</f>
        <v>8.2942097026604067</v>
      </c>
    </row>
    <row r="8" spans="1:22" x14ac:dyDescent="0.2">
      <c r="A8" s="19" t="s">
        <v>90</v>
      </c>
      <c r="B8" s="36" t="str">
        <f>Input_Finanzen!B8</f>
        <v>ConocoPhillips</v>
      </c>
      <c r="C8" s="27" t="s">
        <v>92</v>
      </c>
      <c r="D8" s="55">
        <f>IFERROR(Input_Finanzen!I8/Input_Finanzen!L8,"n/a")</f>
        <v>0.66899573661771672</v>
      </c>
      <c r="E8" s="55">
        <f>IFERROR(Input_Finanzen!L8/Input_Finanzen!M8,"n/a")</f>
        <v>21.540816326530614</v>
      </c>
      <c r="F8" s="55">
        <f>IFERROR(Input_Finanzen!J8/Input_Finanzen!M8,"n/a")</f>
        <v>11.761904761904763</v>
      </c>
      <c r="G8" s="56">
        <f>IFERROR(Input_Finanzen!P8,"n/a")</f>
        <v>7496</v>
      </c>
      <c r="H8" s="57">
        <f>IF(Input_Finanzen!I8&lt;=0,"n.m.",IFERROR(Input_Finanzen!P8/Input_Finanzen!I8,"n/a"))</f>
        <v>0.4423201746621821</v>
      </c>
      <c r="I8" s="57">
        <f>IFERROR(Input_Finanzen!P8/Input_Finanzen!G8,"n/a")</f>
        <v>0.31974065859068418</v>
      </c>
      <c r="J8" s="55">
        <f>IFERROR(Input_Finanzen!O8/Input_Finanzen!K8,"n/a")</f>
        <v>1.0695652173913044</v>
      </c>
      <c r="K8" s="56">
        <f>IFERROR(IF(Input_Finanzen!Q8="",0,Input_Finanzen!Q8)+IF(Input_Finanzen!R8="",0,Input_Finanzen!R8),"n/a")</f>
        <v>9013</v>
      </c>
      <c r="L8" s="57">
        <f>IF(Input_Finanzen!P8&lt;=0,"n.m.",IFERROR(K8/Input_Finanzen!P8,"n/a"))</f>
        <v>1.2023745997865529</v>
      </c>
      <c r="M8" s="56">
        <f>IF(Input_Finanzen!T8="","n/v",Input_Finanzen!T8)</f>
        <v>1806</v>
      </c>
      <c r="N8" s="57">
        <f>IF(Input_Finanzen!T8="","n/v",IFERROR(Input_Finanzen!T8/Input_Finanzen!G8,"n/a"))</f>
        <v>7.7034635727691522E-2</v>
      </c>
      <c r="O8" s="58" t="str">
        <f>IF(Input_Ratings!E8="","n/v",Input_Ratings!E8&amp;" ("&amp;Input_Ratings!F8&amp;")")</f>
        <v>A2 (stable)</v>
      </c>
      <c r="P8" s="58" t="str">
        <f>IF(Input_Ratings!G8="","n/v",Input_Ratings!G8&amp;" ("&amp;Input_Ratings!H8&amp;")")</f>
        <v>A- (stable)</v>
      </c>
      <c r="Q8" s="58" t="str">
        <f>IF(Input_Ratings!I8="","n/v",Input_Ratings!I8&amp;IF(Input_Ratings!J8=""," "," ("&amp;Input_Ratings!J8&amp;")"))</f>
        <v>A (stable)</v>
      </c>
      <c r="R8" s="59">
        <f>Agentur_Bruecke!J9</f>
        <v>0.98304570712999917</v>
      </c>
      <c r="S8" s="59">
        <f>Agentur_Bruecke!Q9</f>
        <v>0.97427995617124519</v>
      </c>
      <c r="T8" s="59">
        <f>Agentur_Bruecke!U9</f>
        <v>0.9546059325350239</v>
      </c>
      <c r="U8" s="57">
        <f>IFERROR(Input_Finanzen!J8*(1-Input_Finanzen!U8)/(Input_Finanzen!G8+Input_Finanzen!S8),"n/a")</f>
        <v>9.9285209853301137E-2</v>
      </c>
      <c r="V8" s="60">
        <f>IF(OR(Input_Finanzen!V8="",Input_Finanzen!W8=""),"n/v",IFERROR(Input_Finanzen!V8/Input_Finanzen!W8,"n/a"))</f>
        <v>9.2915214866434379</v>
      </c>
    </row>
    <row r="9" spans="1:22" x14ac:dyDescent="0.2">
      <c r="A9" s="19" t="s">
        <v>95</v>
      </c>
      <c r="B9" s="36" t="str">
        <f>Input_Finanzen!B9</f>
        <v>EOG Resources</v>
      </c>
      <c r="C9" s="27" t="s">
        <v>92</v>
      </c>
      <c r="D9" s="55">
        <f>IFERROR(Input_Finanzen!I9/Input_Finanzen!L9,"n/a")</f>
        <v>0.41858749769500275</v>
      </c>
      <c r="E9" s="55">
        <f>IFERROR(Input_Finanzen!L9/Input_Finanzen!M9,"n/a")</f>
        <v>46.153191489361703</v>
      </c>
      <c r="F9" s="55">
        <f>IFERROR(Input_Finanzen!J9/Input_Finanzen!M9,"n/a")</f>
        <v>27.170212765957448</v>
      </c>
      <c r="G9" s="56">
        <f>IFERROR(Input_Finanzen!P9,"n/a")</f>
        <v>3929</v>
      </c>
      <c r="H9" s="57">
        <f>IF(Input_Finanzen!I9&lt;=0,"n.m.",IFERROR(Input_Finanzen!P9/Input_Finanzen!I9,"n/a"))</f>
        <v>0.86541850220264316</v>
      </c>
      <c r="I9" s="57">
        <f>IFERROR(Input_Finanzen!P9/Input_Finanzen!G9,"n/a")</f>
        <v>0.49508568548387094</v>
      </c>
      <c r="J9" s="55">
        <f>IFERROR(Input_Finanzen!O9/Input_Finanzen!K9,"n/a")</f>
        <v>1.3707688859000224</v>
      </c>
      <c r="K9" s="56">
        <f>IFERROR(IF(Input_Finanzen!Q9="",0,Input_Finanzen!Q9)+IF(Input_Finanzen!R9="",0,Input_Finanzen!R9),"n/a")</f>
        <v>4725</v>
      </c>
      <c r="L9" s="57">
        <f>IF(Input_Finanzen!P9&lt;=0,"n.m.",IFERROR(K9/Input_Finanzen!P9,"n/a"))</f>
        <v>1.2025960804275897</v>
      </c>
      <c r="M9" s="56">
        <f>IF(Input_Finanzen!T9="","n/v",Input_Finanzen!T9)</f>
        <v>27</v>
      </c>
      <c r="N9" s="57">
        <f>IF(Input_Finanzen!T9="","n/v",IFERROR(Input_Finanzen!T9/Input_Finanzen!G9,"n/a"))</f>
        <v>3.4022177419354839E-3</v>
      </c>
      <c r="O9" s="58" t="str">
        <f>IF(Input_Ratings!E9="","n/v",Input_Ratings!E9&amp;" ("&amp;Input_Ratings!F9&amp;")")</f>
        <v>A2 (stable)</v>
      </c>
      <c r="P9" s="58" t="str">
        <f>IF(Input_Ratings!G9="","n/v",Input_Ratings!G9&amp;" ("&amp;Input_Ratings!H9&amp;")")</f>
        <v>A (stable)</v>
      </c>
      <c r="Q9" s="58" t="str">
        <f>IF(Input_Ratings!I9="","n/v",Input_Ratings!I9&amp;IF(Input_Ratings!J9=""," "," ("&amp;Input_Ratings!J9&amp;")"))</f>
        <v xml:space="preserve">n.r. </v>
      </c>
      <c r="R9" s="59">
        <f>Agentur_Bruecke!J10</f>
        <v>0.78150397809906746</v>
      </c>
      <c r="S9" s="59">
        <f>Agentur_Bruecke!Q10</f>
        <v>0.59171015484643685</v>
      </c>
      <c r="T9" s="59">
        <f>Agentur_Bruecke!U10</f>
        <v>0.78150397809906746</v>
      </c>
      <c r="U9" s="57">
        <f>IFERROR(Input_Finanzen!J9*(1-Input_Finanzen!U9)/(Input_Finanzen!G9+Input_Finanzen!S9),"n/a")</f>
        <v>0.13233084731919351</v>
      </c>
      <c r="V9" s="60">
        <f>IF(OR(Input_Finanzen!V9="",Input_Finanzen!W9=""),"n/v",IFERROR(Input_Finanzen!V9/Input_Finanzen!W9,"n/a"))</f>
        <v>13.128571428571428</v>
      </c>
    </row>
    <row r="10" spans="1:22" x14ac:dyDescent="0.2">
      <c r="A10" s="19" t="s">
        <v>98</v>
      </c>
      <c r="B10" s="36" t="str">
        <f>Input_Finanzen!B10</f>
        <v>Occidental Petroleum</v>
      </c>
      <c r="C10" s="27" t="s">
        <v>92</v>
      </c>
      <c r="D10" s="55">
        <f>IFERROR(Input_Finanzen!I10/Input_Finanzen!L10,"n/a")</f>
        <v>1.7400340715502556</v>
      </c>
      <c r="E10" s="55">
        <f>IFERROR(Input_Finanzen!L10/Input_Finanzen!M10,"n/a")</f>
        <v>10.88044485634847</v>
      </c>
      <c r="F10" s="55">
        <f>IFERROR(Input_Finanzen!J10/Input_Finanzen!M10,"n/a")</f>
        <v>3.8989805375347544</v>
      </c>
      <c r="G10" s="56">
        <f>IFERROR(Input_Finanzen!P10,"n/a")</f>
        <v>4105</v>
      </c>
      <c r="H10" s="57">
        <f>IF(Input_Finanzen!I10&lt;=0,"n.m.",IFERROR(Input_Finanzen!P10/Input_Finanzen!I10,"n/a"))</f>
        <v>0.20094967691403956</v>
      </c>
      <c r="I10" s="57">
        <f>IFERROR(Input_Finanzen!P10/Input_Finanzen!G10,"n/a")</f>
        <v>0.18329165922486157</v>
      </c>
      <c r="J10" s="55">
        <f>IFERROR(Input_Finanzen!O10/Input_Finanzen!K10,"n/a")</f>
        <v>0.85317934421877073</v>
      </c>
      <c r="K10" s="56">
        <f>IFERROR(IF(Input_Finanzen!Q10="",0,Input_Finanzen!Q10)+IF(Input_Finanzen!R10="",0,Input_Finanzen!R10),"n/a")</f>
        <v>1594</v>
      </c>
      <c r="L10" s="57">
        <f>IF(Input_Finanzen!P10&lt;=0,"n.m.",IFERROR(K10/Input_Finanzen!P10,"n/a"))</f>
        <v>0.38830694275274058</v>
      </c>
      <c r="M10" s="56">
        <f>IF(Input_Finanzen!T10="","n/v",Input_Finanzen!T10)</f>
        <v>1773</v>
      </c>
      <c r="N10" s="57">
        <f>IF(Input_Finanzen!T10="","n/v",IFERROR(Input_Finanzen!T10/Input_Finanzen!G10,"n/a"))</f>
        <v>7.9165922486158238E-2</v>
      </c>
      <c r="O10" s="58" t="str">
        <f>IF(Input_Ratings!E10="","n/v",Input_Ratings!E10&amp;" ("&amp;Input_Ratings!F10&amp;")")</f>
        <v>Baa3 (stable)</v>
      </c>
      <c r="P10" s="58" t="str">
        <f>IF(Input_Ratings!G10="","n/v",Input_Ratings!G10&amp;" ("&amp;Input_Ratings!H10&amp;")")</f>
        <v>BBB- (positive)</v>
      </c>
      <c r="Q10" s="58" t="str">
        <f>IF(Input_Ratings!I10="","n/v",Input_Ratings!I10&amp;IF(Input_Ratings!J10=""," "," ("&amp;Input_Ratings!J10&amp;")"))</f>
        <v>BBB- (stable)</v>
      </c>
      <c r="R10" s="59">
        <f>Agentur_Bruecke!J11</f>
        <v>2.2626422503606349</v>
      </c>
      <c r="S10" s="59">
        <f>Agentur_Bruecke!Q11</f>
        <v>2.3785863119089599</v>
      </c>
      <c r="T10" s="59">
        <f>Agentur_Bruecke!U11</f>
        <v>2.2034380509697065</v>
      </c>
      <c r="U10" s="57">
        <f>IFERROR(Input_Finanzen!J10*(1-Input_Finanzen!U10)/(Input_Finanzen!G10+Input_Finanzen!S10),"n/a")</f>
        <v>4.8035515901005861E-2</v>
      </c>
      <c r="V10" s="60">
        <f>IF(OR(Input_Finanzen!V10="",Input_Finanzen!W10=""),"n/v",IFERROR(Input_Finanzen!V10/Input_Finanzen!W10,"n/a"))</f>
        <v>9.0019569471624266</v>
      </c>
    </row>
    <row r="11" spans="1:22" x14ac:dyDescent="0.2">
      <c r="A11" s="19" t="s">
        <v>101</v>
      </c>
      <c r="B11" s="36" t="str">
        <f>Input_Finanzen!B11</f>
        <v>Diamondback Energy</v>
      </c>
      <c r="C11" s="27" t="s">
        <v>92</v>
      </c>
      <c r="D11" s="55">
        <f>IFERROR(Input_Finanzen!I11/Input_Finanzen!L11,"n/a")</f>
        <v>2.2818845177664975</v>
      </c>
      <c r="E11" s="55">
        <f>IFERROR(Input_Finanzen!L11/Input_Finanzen!M11,"n/a")</f>
        <v>25.83606557377049</v>
      </c>
      <c r="F11" s="55">
        <f>IFERROR(Input_Finanzen!J11/Input_Finanzen!M11,"n/a")</f>
        <v>5.1885245901639347</v>
      </c>
      <c r="G11" s="56">
        <f>IFERROR(Input_Finanzen!P11,"n/a")</f>
        <v>5235</v>
      </c>
      <c r="H11" s="57">
        <f>IF(Input_Finanzen!I11&lt;=0,"n.m.",IFERROR(Input_Finanzen!P11/Input_Finanzen!I11,"n/a"))</f>
        <v>0.36392075078206465</v>
      </c>
      <c r="I11" s="57">
        <f>IFERROR(Input_Finanzen!P11/Input_Finanzen!G11,"n/a")</f>
        <v>0.36130857892194079</v>
      </c>
      <c r="J11" s="55">
        <f>IFERROR(Input_Finanzen!O11/Input_Finanzen!K11,"n/a")</f>
        <v>0.69928543072647875</v>
      </c>
      <c r="K11" s="56">
        <f>IFERROR(IF(Input_Finanzen!Q11="",0,Input_Finanzen!Q11)+IF(Input_Finanzen!R11="",0,Input_Finanzen!R11),"n/a")</f>
        <v>3156</v>
      </c>
      <c r="L11" s="57">
        <f>IF(Input_Finanzen!P11&lt;=0,"n.m.",IFERROR(K11/Input_Finanzen!P11,"n/a"))</f>
        <v>0.60286532951289395</v>
      </c>
      <c r="M11" s="56">
        <f>IF(Input_Finanzen!T11="","n/v",Input_Finanzen!T11)</f>
        <v>2663</v>
      </c>
      <c r="N11" s="57">
        <f>IF(Input_Finanzen!T11="","n/v",IFERROR(Input_Finanzen!T11/Input_Finanzen!G11,"n/a"))</f>
        <v>0.18379460280212576</v>
      </c>
      <c r="O11" s="58" t="str">
        <f>IF(Input_Ratings!E11="","n/v",Input_Ratings!E11&amp;" ("&amp;Input_Ratings!F11&amp;")")</f>
        <v>Baa3 (positive)</v>
      </c>
      <c r="P11" s="58" t="str">
        <f>IF(Input_Ratings!G11="","n/v",Input_Ratings!G11&amp;" ("&amp;Input_Ratings!H11&amp;")")</f>
        <v>BBB (stable)</v>
      </c>
      <c r="Q11" s="58" t="str">
        <f>IF(Input_Ratings!I11="","n/v",Input_Ratings!I11&amp;IF(Input_Ratings!J11=""," "," ("&amp;Input_Ratings!J11&amp;")"))</f>
        <v>BBB (stable)</v>
      </c>
      <c r="R11" s="59">
        <f>Agentur_Bruecke!J12</f>
        <v>1.4553033346725592</v>
      </c>
      <c r="S11" s="59">
        <f>Agentur_Bruecke!Q12</f>
        <v>1.4856870229007633</v>
      </c>
      <c r="T11" s="59">
        <f>Agentur_Bruecke!U12</f>
        <v>1.4553033346725592</v>
      </c>
      <c r="U11" s="57">
        <f>IFERROR(Input_Finanzen!J11*(1-Input_Finanzen!U11)/(Input_Finanzen!G11+Input_Finanzen!S11),"n/a")</f>
        <v>1.8189428123849282E-2</v>
      </c>
      <c r="V11" s="60">
        <f>IF(OR(Input_Finanzen!V11="",Input_Finanzen!W11=""),"n/v",IFERROR(Input_Finanzen!V11/Input_Finanzen!W11,"n/a"))</f>
        <v>10.767857142857142</v>
      </c>
    </row>
    <row r="12" spans="1:22" x14ac:dyDescent="0.2">
      <c r="A12" s="19" t="s">
        <v>104</v>
      </c>
      <c r="B12" s="36" t="str">
        <f>Input_Finanzen!B12</f>
        <v>Expand Energy</v>
      </c>
      <c r="C12" s="27" t="s">
        <v>92</v>
      </c>
      <c r="D12" s="55">
        <f>IFERROR(Input_Finanzen!I12/Input_Finanzen!L12,"n/a")</f>
        <v>0.80590717299578063</v>
      </c>
      <c r="E12" s="55">
        <f>IFERROR(Input_Finanzen!L12/Input_Finanzen!M12,"n/a")</f>
        <v>23.195744680851064</v>
      </c>
      <c r="F12" s="55">
        <f>IFERROR(Input_Finanzen!J12/Input_Finanzen!M12,"n/a")</f>
        <v>10.514893617021277</v>
      </c>
      <c r="G12" s="56">
        <f>IFERROR(Input_Finanzen!P12,"n/a")</f>
        <v>1839</v>
      </c>
      <c r="H12" s="57">
        <f>IF(Input_Finanzen!I12&lt;=0,"n.m.",IFERROR(Input_Finanzen!P12/Input_Finanzen!I12,"n/a"))</f>
        <v>0.41862053266560439</v>
      </c>
      <c r="I12" s="57">
        <f>IFERROR(Input_Finanzen!P12/Input_Finanzen!G12,"n/a")</f>
        <v>0.36713914953084448</v>
      </c>
      <c r="J12" s="55">
        <f>IFERROR(Input_Finanzen!O12/Input_Finanzen!K12,"n/a")</f>
        <v>0.91812080536912755</v>
      </c>
      <c r="K12" s="56">
        <f>IFERROR(IF(Input_Finanzen!Q12="",0,Input_Finanzen!Q12)+IF(Input_Finanzen!R12="",0,Input_Finanzen!R12),"n/a")</f>
        <v>865</v>
      </c>
      <c r="L12" s="57">
        <f>IF(Input_Finanzen!P12&lt;=0,"n.m.",IFERROR(K12/Input_Finanzen!P12,"n/a"))</f>
        <v>0.47036432843936921</v>
      </c>
      <c r="M12" s="56">
        <f>IF(Input_Finanzen!T12="","n/v",Input_Finanzen!T12)</f>
        <v>0</v>
      </c>
      <c r="N12" s="57">
        <f>IF(Input_Finanzen!T12="","n/v",IFERROR(Input_Finanzen!T12/Input_Finanzen!G12,"n/a"))</f>
        <v>0</v>
      </c>
      <c r="O12" s="58" t="str">
        <f>IF(Input_Ratings!E12="","n/v",Input_Ratings!E12&amp;" ("&amp;Input_Ratings!F12&amp;")")</f>
        <v>Baa3 (stable)</v>
      </c>
      <c r="P12" s="58" t="str">
        <f>IF(Input_Ratings!G12="","n/v",Input_Ratings!G12&amp;" ("&amp;Input_Ratings!H12&amp;")")</f>
        <v>BBB- (stable)</v>
      </c>
      <c r="Q12" s="58" t="str">
        <f>IF(Input_Ratings!I12="","n/v",Input_Ratings!I12&amp;IF(Input_Ratings!J12=""," "," ("&amp;Input_Ratings!J12&amp;")"))</f>
        <v>BBB- (stable)</v>
      </c>
      <c r="R12" s="59">
        <f>Agentur_Bruecke!J13</f>
        <v>0.93075801749271136</v>
      </c>
      <c r="S12" s="59">
        <f>Agentur_Bruecke!Q13</f>
        <v>0.91745626822157433</v>
      </c>
      <c r="T12" s="59">
        <f>Agentur_Bruecke!U13</f>
        <v>0.93075801749271136</v>
      </c>
      <c r="U12" s="57">
        <f>IFERROR(Input_Finanzen!J12*(1-Input_Finanzen!U12)/(Input_Finanzen!G12+Input_Finanzen!S12),"n/a")</f>
        <v>8.3505887744652951E-2</v>
      </c>
      <c r="V12" s="60">
        <f>IF(OR(Input_Finanzen!V12="",Input_Finanzen!W12=""),"n/v",IFERROR(Input_Finanzen!V12/Input_Finanzen!W12,"n/a"))</f>
        <v>9.8470319634703198</v>
      </c>
    </row>
    <row r="13" spans="1:22" x14ac:dyDescent="0.2">
      <c r="A13" s="19" t="s">
        <v>107</v>
      </c>
      <c r="B13" s="36" t="str">
        <f>Input_Finanzen!B13</f>
        <v>EQT Corp.</v>
      </c>
      <c r="C13" s="27" t="s">
        <v>92</v>
      </c>
      <c r="D13" s="55">
        <f>IFERROR(Input_Finanzen!I13/Input_Finanzen!L13,"n/a")</f>
        <v>1.3144444444444445</v>
      </c>
      <c r="E13" s="55">
        <f>IFERROR(Input_Finanzen!L13/Input_Finanzen!M13,"n/a")</f>
        <v>13.334852974697972</v>
      </c>
      <c r="F13" s="55">
        <f>IFERROR(Input_Finanzen!J13/Input_Finanzen!M13,"n/a")</f>
        <v>7.407339867791201</v>
      </c>
      <c r="G13" s="56">
        <f>IFERROR(Input_Finanzen!P13,"n/a")</f>
        <v>2837.6</v>
      </c>
      <c r="H13" s="57">
        <f>IF(Input_Finanzen!I13&lt;=0,"n.m.",IFERROR(Input_Finanzen!P13/Input_Finanzen!I13,"n/a"))</f>
        <v>0.36902269328304832</v>
      </c>
      <c r="I13" s="57">
        <f>IFERROR(Input_Finanzen!P13/Input_Finanzen!G13,"n/a")</f>
        <v>0.3637808802225555</v>
      </c>
      <c r="J13" s="55">
        <f>IFERROR(Input_Finanzen!O13/Input_Finanzen!K13,"n/a")</f>
        <v>0.8800184586986618</v>
      </c>
      <c r="K13" s="56">
        <f>IFERROR(IF(Input_Finanzen!Q13="",0,Input_Finanzen!Q13)+IF(Input_Finanzen!R13="",0,Input_Finanzen!R13),"n/a")</f>
        <v>389.6</v>
      </c>
      <c r="L13" s="57">
        <f>IF(Input_Finanzen!P13&lt;=0,"n.m.",IFERROR(K13/Input_Finanzen!P13,"n/a"))</f>
        <v>0.13729912602199043</v>
      </c>
      <c r="M13" s="56">
        <f>IF(Input_Finanzen!T13="","n/v",Input_Finanzen!T13)</f>
        <v>507.1</v>
      </c>
      <c r="N13" s="57">
        <f>IF(Input_Finanzen!T13="","n/v",IFERROR(Input_Finanzen!T13/Input_Finanzen!G13,"n/a"))</f>
        <v>6.5010320115892986E-2</v>
      </c>
      <c r="O13" s="58" t="str">
        <f>IF(Input_Ratings!E13="","n/v",Input_Ratings!E13&amp;" ("&amp;Input_Ratings!F13&amp;")")</f>
        <v>Baa3 (positive)</v>
      </c>
      <c r="P13" s="58" t="str">
        <f>IF(Input_Ratings!G13="","n/v",Input_Ratings!G13&amp;" ("&amp;Input_Ratings!H13&amp;")")</f>
        <v>BBB- (positive)</v>
      </c>
      <c r="Q13" s="58" t="str">
        <f>IF(Input_Ratings!I13="","n/v",Input_Ratings!I13&amp;IF(Input_Ratings!J13=""," "," ("&amp;Input_Ratings!J13&amp;")"))</f>
        <v>BBB- (positive)</v>
      </c>
      <c r="R13" s="59">
        <f>Agentur_Bruecke!J14</f>
        <v>1.2793420368926995</v>
      </c>
      <c r="S13" s="59">
        <f>Agentur_Bruecke!Q14</f>
        <v>1.3855100350740455</v>
      </c>
      <c r="T13" s="59">
        <f>Agentur_Bruecke!U14</f>
        <v>1.2793420368926995</v>
      </c>
      <c r="U13" s="57">
        <f>IFERROR(Input_Finanzen!J13*(1-Input_Finanzen!U13)/(Input_Finanzen!G13+Input_Finanzen!S13),"n/a")</f>
        <v>7.2187840913795875E-2</v>
      </c>
      <c r="V13" s="60">
        <f>IF(OR(Input_Finanzen!V13="",Input_Finanzen!W13=""),"n/v",IFERROR(Input_Finanzen!V13/Input_Finanzen!W13,"n/a"))</f>
        <v>11.832911392405064</v>
      </c>
    </row>
    <row r="14" spans="1:22" x14ac:dyDescent="0.2">
      <c r="A14" s="19" t="s">
        <v>110</v>
      </c>
      <c r="B14" s="36" t="str">
        <f>Input_Finanzen!B14</f>
        <v>Devon Energy</v>
      </c>
      <c r="C14" s="27" t="s">
        <v>92</v>
      </c>
      <c r="D14" s="55">
        <f>IFERROR(Input_Finanzen!I14/Input_Finanzen!L14,"n/a")</f>
        <v>0.92683249536914525</v>
      </c>
      <c r="E14" s="55">
        <f>IFERROR(Input_Finanzen!L14/Input_Finanzen!M14,"n/a")</f>
        <v>15.207243460764587</v>
      </c>
      <c r="F14" s="55">
        <f>IFERROR(Input_Finanzen!J14/Input_Finanzen!M14,"n/a")</f>
        <v>7.9738430583501003</v>
      </c>
      <c r="G14" s="56">
        <f>IFERROR(Input_Finanzen!P14,"n/a")</f>
        <v>3119</v>
      </c>
      <c r="H14" s="57">
        <f>IF(Input_Finanzen!I14&lt;=0,"n.m.",IFERROR(Input_Finanzen!P14/Input_Finanzen!I14,"n/a"))</f>
        <v>0.4452533904354033</v>
      </c>
      <c r="I14" s="57">
        <f>IFERROR(Input_Finanzen!P14/Input_Finanzen!G14,"n/a")</f>
        <v>0.3717964000476815</v>
      </c>
      <c r="J14" s="55">
        <f>IFERROR(Input_Finanzen!O14/Input_Finanzen!K14,"n/a")</f>
        <v>0.99916550764951317</v>
      </c>
      <c r="K14" s="56">
        <f>IFERROR(IF(Input_Finanzen!Q14="",0,Input_Finanzen!Q14)+IF(Input_Finanzen!R14="",0,Input_Finanzen!R14),"n/a")</f>
        <v>1669</v>
      </c>
      <c r="L14" s="57">
        <f>IF(Input_Finanzen!P14&lt;=0,"n.m.",IFERROR(K14/Input_Finanzen!P14,"n/a"))</f>
        <v>0.53510740621994224</v>
      </c>
      <c r="M14" s="56">
        <f>IF(Input_Finanzen!T14="","n/v",Input_Finanzen!T14)</f>
        <v>1461</v>
      </c>
      <c r="N14" s="57">
        <f>IF(Input_Finanzen!T14="","n/v",IFERROR(Input_Finanzen!T14/Input_Finanzen!G14,"n/a"))</f>
        <v>0.17415663368697104</v>
      </c>
      <c r="O14" s="58" t="str">
        <f>IF(Input_Ratings!E14="","n/v",Input_Ratings!E14&amp;" ("&amp;Input_Ratings!F14&amp;")")</f>
        <v>Baa3 (stable)</v>
      </c>
      <c r="P14" s="58" t="str">
        <f>IF(Input_Ratings!G14="","n/v",Input_Ratings!G14&amp;" ("&amp;Input_Ratings!H14&amp;")")</f>
        <v>BBB- (stable)</v>
      </c>
      <c r="Q14" s="58" t="str">
        <f>IF(Input_Ratings!I14="","n/v",Input_Ratings!I14&amp;IF(Input_Ratings!J14=""," "," ("&amp;Input_Ratings!J14&amp;")"))</f>
        <v>BBB (stable)</v>
      </c>
      <c r="R14" s="59">
        <f>Agentur_Bruecke!J15</f>
        <v>1.1254160266257041</v>
      </c>
      <c r="S14" s="59">
        <f>Agentur_Bruecke!Q15</f>
        <v>1.0352342549923195</v>
      </c>
      <c r="T14" s="59">
        <f>Agentur_Bruecke!U15</f>
        <v>1.1091909882232462</v>
      </c>
      <c r="U14" s="57">
        <f>IFERROR(Input_Finanzen!J14*(1-Input_Finanzen!U14)/(Input_Finanzen!G14+Input_Finanzen!S14),"n/a")</f>
        <v>0.12816977573504412</v>
      </c>
      <c r="V14" s="60">
        <f>IF(OR(Input_Finanzen!V14="",Input_Finanzen!W14=""),"n/v",IFERROR(Input_Finanzen!V14/Input_Finanzen!W14,"n/a"))</f>
        <v>7.8175895765472312</v>
      </c>
    </row>
    <row r="15" spans="1:22" x14ac:dyDescent="0.2">
      <c r="A15" s="19" t="s">
        <v>113</v>
      </c>
      <c r="B15" s="36" t="str">
        <f>Input_Finanzen!B15</f>
        <v>Coterra Energy</v>
      </c>
      <c r="C15" s="27" t="s">
        <v>92</v>
      </c>
      <c r="D15" s="55">
        <f>IFERROR(Input_Finanzen!I15/Input_Finanzen!L15,"n/a")</f>
        <v>0.76814599751140611</v>
      </c>
      <c r="E15" s="55">
        <f>IFERROR(Input_Finanzen!L15/Input_Finanzen!M15,"n/a")</f>
        <v>23.521951219512196</v>
      </c>
      <c r="F15" s="55">
        <f>IFERROR(Input_Finanzen!J15/Input_Finanzen!M15,"n/a")</f>
        <v>11.960975609756098</v>
      </c>
      <c r="G15" s="56">
        <f>IFERROR(Input_Finanzen!P15,"n/a")</f>
        <v>1733</v>
      </c>
      <c r="H15" s="57">
        <f>IF(Input_Finanzen!I15&lt;=0,"n.m.",IFERROR(Input_Finanzen!P15/Input_Finanzen!I15,"n/a"))</f>
        <v>0.46787257019438444</v>
      </c>
      <c r="I15" s="57">
        <f>IFERROR(Input_Finanzen!P15/Input_Finanzen!G15,"n/a")</f>
        <v>0.45390256678889473</v>
      </c>
      <c r="J15" s="55">
        <f>IFERROR(Input_Finanzen!O15/Input_Finanzen!K15,"n/a")</f>
        <v>0.96540084388185654</v>
      </c>
      <c r="K15" s="56">
        <f>IFERROR(IF(Input_Finanzen!Q15="",0,Input_Finanzen!Q15)+IF(Input_Finanzen!R15="",0,Input_Finanzen!R15),"n/a")</f>
        <v>823</v>
      </c>
      <c r="L15" s="57">
        <f>IF(Input_Finanzen!P15&lt;=0,"n.m.",IFERROR(K15/Input_Finanzen!P15,"n/a"))</f>
        <v>0.4748990190421235</v>
      </c>
      <c r="M15" s="56">
        <f>IF(Input_Finanzen!T15="","n/v",Input_Finanzen!T15)</f>
        <v>1000</v>
      </c>
      <c r="N15" s="57">
        <f>IF(Input_Finanzen!T15="","n/v",IFERROR(Input_Finanzen!T15/Input_Finanzen!G15,"n/a"))</f>
        <v>0.26191723415400736</v>
      </c>
      <c r="O15" s="58" t="str">
        <f>IF(Input_Ratings!E15="","n/v",Input_Ratings!E15&amp;" ("&amp;Input_Ratings!F15&amp;")")</f>
        <v>Baa2 (stable)</v>
      </c>
      <c r="P15" s="58" t="str">
        <f>IF(Input_Ratings!G15="","n/v",Input_Ratings!G15&amp;" ("&amp;Input_Ratings!H15&amp;")")</f>
        <v>BBB (stable)</v>
      </c>
      <c r="Q15" s="58" t="str">
        <f>IF(Input_Ratings!I15="","n/v",Input_Ratings!I15&amp;IF(Input_Ratings!J15=""," "," ("&amp;Input_Ratings!J15&amp;")"))</f>
        <v>BBB (stable)</v>
      </c>
      <c r="R15" s="59">
        <f>Agentur_Bruecke!J16</f>
        <v>0.83316051430941518</v>
      </c>
      <c r="S15" s="59">
        <f>Agentur_Bruecke!Q16</f>
        <v>0.86286810452094564</v>
      </c>
      <c r="T15" s="59">
        <f>Agentur_Bruecke!U16</f>
        <v>0.83160514309415179</v>
      </c>
      <c r="U15" s="57">
        <f>IFERROR(Input_Finanzen!J15*(1-Input_Finanzen!U15)/(Input_Finanzen!G15+Input_Finanzen!S15),"n/a")</f>
        <v>9.9721240873201389E-2</v>
      </c>
      <c r="V15" s="60">
        <f>IF(OR(Input_Finanzen!V15="",Input_Finanzen!W15=""),"n/v",IFERROR(Input_Finanzen!V15/Input_Finanzen!W15,"n/a"))</f>
        <v>10.676156583629894</v>
      </c>
    </row>
    <row r="16" spans="1:22" x14ac:dyDescent="0.2">
      <c r="A16" s="19" t="s">
        <v>116</v>
      </c>
      <c r="B16" s="36" t="str">
        <f>Input_Finanzen!B16</f>
        <v>Williams Companies</v>
      </c>
      <c r="C16" s="28" t="s">
        <v>118</v>
      </c>
      <c r="D16" s="55">
        <f>IFERROR(Input_Finanzen!I16/Input_Finanzen!L16,"n/a")</f>
        <v>4.3707779306128689</v>
      </c>
      <c r="E16" s="55">
        <f>IFERROR(Input_Finanzen!L16/Input_Finanzen!M16,"n/a")</f>
        <v>4.5374479889043</v>
      </c>
      <c r="F16" s="55">
        <f>IFERROR(Input_Finanzen!J16/Input_Finanzen!M16,"n/a")</f>
        <v>2.9098474341192788</v>
      </c>
      <c r="G16" s="56">
        <f>IFERROR(Input_Finanzen!P16,"n/a")</f>
        <v>1005</v>
      </c>
      <c r="H16" s="57">
        <f>IF(Input_Finanzen!I16&lt;=0,"n.m.",IFERROR(Input_Finanzen!P16/Input_Finanzen!I16,"n/a"))</f>
        <v>3.5142317644590533E-2</v>
      </c>
      <c r="I16" s="57">
        <f>IFERROR(Input_Finanzen!P16/Input_Finanzen!G16,"n/a")</f>
        <v>3.5065071002407452E-2</v>
      </c>
      <c r="J16" s="55">
        <f>IFERROR(Input_Finanzen!O16/Input_Finanzen!K16,"n/a")</f>
        <v>2.0847890924584576</v>
      </c>
      <c r="K16" s="56">
        <f>IFERROR(IF(Input_Finanzen!Q16="",0,Input_Finanzen!Q16)+IF(Input_Finanzen!R16="",0,Input_Finanzen!R16),"n/a")</f>
        <v>2442</v>
      </c>
      <c r="L16" s="57">
        <f>IF(Input_Finanzen!P16&lt;=0,"n.m.",IFERROR(K16/Input_Finanzen!P16,"n/a"))</f>
        <v>2.4298507462686567</v>
      </c>
      <c r="M16" s="56">
        <f>IF(Input_Finanzen!T16="","n/v",Input_Finanzen!T16)</f>
        <v>3339</v>
      </c>
      <c r="N16" s="57">
        <f>IF(Input_Finanzen!T16="","n/v",IFERROR(Input_Finanzen!T16/Input_Finanzen!G16,"n/a"))</f>
        <v>0.11649977321098356</v>
      </c>
      <c r="O16" s="58" t="str">
        <f>IF(Input_Ratings!E16="","n/v",Input_Ratings!E16&amp;" ("&amp;Input_Ratings!F16&amp;")")</f>
        <v>Baa2 (stable)</v>
      </c>
      <c r="P16" s="58" t="str">
        <f>IF(Input_Ratings!G16="","n/v",Input_Ratings!G16&amp;" ("&amp;Input_Ratings!H16&amp;")")</f>
        <v>BBB (stable)</v>
      </c>
      <c r="Q16" s="58" t="str">
        <f>IF(Input_Ratings!I16="","n/v",Input_Ratings!I16&amp;IF(Input_Ratings!J16=""," "," ("&amp;Input_Ratings!J16&amp;")"))</f>
        <v>BBB (stable)</v>
      </c>
      <c r="R16" s="59">
        <f>Agentur_Bruecke!J17</f>
        <v>4.2474613686534219</v>
      </c>
      <c r="S16" s="59">
        <f>Agentur_Bruecke!Q17</f>
        <v>4.5237306843267104</v>
      </c>
      <c r="T16" s="59">
        <f>Agentur_Bruecke!U17</f>
        <v>4.2474613686534219</v>
      </c>
      <c r="U16" s="57">
        <f>IFERROR(Input_Finanzen!J16*(1-Input_Finanzen!U16)/(Input_Finanzen!G16+Input_Finanzen!S16),"n/a")</f>
        <v>7.339215054374959E-2</v>
      </c>
      <c r="V16" s="60" t="s">
        <v>119</v>
      </c>
    </row>
    <row r="17" spans="1:22" x14ac:dyDescent="0.2">
      <c r="A17" s="19" t="s">
        <v>121</v>
      </c>
      <c r="B17" s="36" t="str">
        <f>Input_Finanzen!B17</f>
        <v>Kinder Morgan</v>
      </c>
      <c r="C17" s="28" t="s">
        <v>118</v>
      </c>
      <c r="D17" s="55">
        <f>IFERROR(Input_Finanzen!I17/Input_Finanzen!L17,"n/a")</f>
        <v>4.4503274348613626</v>
      </c>
      <c r="E17" s="55">
        <f>IFERROR(Input_Finanzen!L17/Input_Finanzen!M17,"n/a")</f>
        <v>3.9850083287062743</v>
      </c>
      <c r="F17" s="55">
        <f>IFERROR(Input_Finanzen!J17/Input_Finanzen!M17,"n/a")</f>
        <v>2.622987229317046</v>
      </c>
      <c r="G17" s="56">
        <f>IFERROR(Input_Finanzen!P17,"n/a")</f>
        <v>2891</v>
      </c>
      <c r="H17" s="57">
        <f>IF(Input_Finanzen!I17&lt;=0,"n.m.",IFERROR(Input_Finanzen!P17/Input_Finanzen!I17,"n/a"))</f>
        <v>9.051346274264245E-2</v>
      </c>
      <c r="I17" s="57">
        <f>IFERROR(Input_Finanzen!P17/Input_Finanzen!G17,"n/a")</f>
        <v>9.0335281067399936E-2</v>
      </c>
      <c r="J17" s="55">
        <f>IFERROR(Input_Finanzen!O17/Input_Finanzen!K17,"n/a")</f>
        <v>1.2335915205870362</v>
      </c>
      <c r="K17" s="56">
        <f>IFERROR(IF(Input_Finanzen!Q17="",0,Input_Finanzen!Q17)+IF(Input_Finanzen!R17="",0,Input_Finanzen!R17),"n/a")</f>
        <v>2604</v>
      </c>
      <c r="L17" s="57">
        <f>IF(Input_Finanzen!P17&lt;=0,"n.m.",IFERROR(K17/Input_Finanzen!P17,"n/a"))</f>
        <v>0.90072639225181594</v>
      </c>
      <c r="M17" s="56">
        <f>IF(Input_Finanzen!T17="","n/v",Input_Finanzen!T17)</f>
        <v>2168</v>
      </c>
      <c r="N17" s="57">
        <f>IF(Input_Finanzen!T17="","n/v",IFERROR(Input_Finanzen!T17/Input_Finanzen!G17,"n/a"))</f>
        <v>6.7743649032903169E-2</v>
      </c>
      <c r="O17" s="58" t="str">
        <f>IF(Input_Ratings!E17="","n/v",Input_Ratings!E17&amp;" ("&amp;Input_Ratings!F17&amp;")")</f>
        <v>Baa1 (stable)</v>
      </c>
      <c r="P17" s="58" t="str">
        <f>IF(Input_Ratings!G17="","n/v",Input_Ratings!G17&amp;" ("&amp;Input_Ratings!H17&amp;")")</f>
        <v>BBB+ (stable)</v>
      </c>
      <c r="Q17" s="58" t="str">
        <f>IF(Input_Ratings!I17="","n/v",Input_Ratings!I17&amp;IF(Input_Ratings!J17=""," "," ("&amp;Input_Ratings!J17&amp;")"))</f>
        <v>BBB+ (stable)</v>
      </c>
      <c r="R17" s="59">
        <f>Agentur_Bruecke!J18</f>
        <v>4.5430062041737171</v>
      </c>
      <c r="S17" s="59">
        <f>Agentur_Bruecke!Q18</f>
        <v>4.5610899605188946</v>
      </c>
      <c r="T17" s="59">
        <f>Agentur_Bruecke!U18</f>
        <v>4.5430062041737171</v>
      </c>
      <c r="U17" s="57">
        <f>IFERROR(Input_Finanzen!J17*(1-Input_Finanzen!U17)/(Input_Finanzen!G17+Input_Finanzen!S17),"n/a")</f>
        <v>5.8018973464834443E-2</v>
      </c>
      <c r="V17" s="60" t="s">
        <v>119</v>
      </c>
    </row>
    <row r="18" spans="1:22" x14ac:dyDescent="0.2">
      <c r="A18" s="19" t="s">
        <v>123</v>
      </c>
      <c r="B18" s="36" t="str">
        <f>Input_Finanzen!B18</f>
        <v>ONEOK</v>
      </c>
      <c r="C18" s="28" t="s">
        <v>118</v>
      </c>
      <c r="D18" s="55">
        <f>IFERROR(Input_Finanzen!I18/Input_Finanzen!L18,"n/a")</f>
        <v>4.3994486560992421</v>
      </c>
      <c r="E18" s="55">
        <f>IFERROR(Input_Finanzen!L18/Input_Finanzen!M18,"n/a")</f>
        <v>4.0689848569826133</v>
      </c>
      <c r="F18" s="55">
        <f>IFERROR(Input_Finanzen!J18/Input_Finanzen!M18,"n/a")</f>
        <v>3.2198541783510937</v>
      </c>
      <c r="G18" s="56">
        <f>IFERROR(Input_Finanzen!P18,"n/a")</f>
        <v>2447</v>
      </c>
      <c r="H18" s="57">
        <f>IF(Input_Finanzen!I18&lt;=0,"n.m.",IFERROR(Input_Finanzen!P18/Input_Finanzen!I18,"n/a"))</f>
        <v>7.6665204586753549E-2</v>
      </c>
      <c r="I18" s="57">
        <f>IFERROR(Input_Finanzen!P18/Input_Finanzen!G18,"n/a")</f>
        <v>7.6478309788723595E-2</v>
      </c>
      <c r="J18" s="55">
        <f>IFERROR(Input_Finanzen!O18/Input_Finanzen!K18,"n/a")</f>
        <v>2.0819022457067371</v>
      </c>
      <c r="K18" s="56">
        <f>IFERROR(IF(Input_Finanzen!Q18="",0,Input_Finanzen!Q18)+IF(Input_Finanzen!R18="",0,Input_Finanzen!R18),"n/a")</f>
        <v>2658</v>
      </c>
      <c r="L18" s="57">
        <f>IF(Input_Finanzen!P18&lt;=0,"n.m.",IFERROR(K18/Input_Finanzen!P18,"n/a"))</f>
        <v>1.0862280343277482</v>
      </c>
      <c r="M18" s="56">
        <f>IF(Input_Finanzen!T18="","n/v",Input_Finanzen!T18)</f>
        <v>1241</v>
      </c>
      <c r="N18" s="57">
        <f>IF(Input_Finanzen!T18="","n/v",IFERROR(Input_Finanzen!T18/Input_Finanzen!G18,"n/a"))</f>
        <v>3.8786098262282784E-2</v>
      </c>
      <c r="O18" s="58" t="str">
        <f>IF(Input_Ratings!E18="","n/v",Input_Ratings!E18&amp;" ("&amp;Input_Ratings!F18&amp;")")</f>
        <v>Baa2 (stable)</v>
      </c>
      <c r="P18" s="58" t="str">
        <f>IF(Input_Ratings!G18="","n/v",Input_Ratings!G18&amp;" ("&amp;Input_Ratings!H18&amp;")")</f>
        <v>BBB (stable)</v>
      </c>
      <c r="Q18" s="58" t="str">
        <f>IF(Input_Ratings!I18="","n/v",Input_Ratings!I18&amp;IF(Input_Ratings!J18=""," "," ("&amp;Input_Ratings!J18&amp;")"))</f>
        <v>BBB (stable)</v>
      </c>
      <c r="R18" s="59">
        <f>Agentur_Bruecke!J19</f>
        <v>4.4361409303605832</v>
      </c>
      <c r="S18" s="59">
        <f>Agentur_Bruecke!Q19</f>
        <v>4.4254060005505096</v>
      </c>
      <c r="T18" s="59">
        <f>Agentur_Bruecke!U19</f>
        <v>4.4361409303605832</v>
      </c>
      <c r="U18" s="57">
        <f>IFERROR(Input_Finanzen!J18*(1-Input_Finanzen!U18)/(Input_Finanzen!G18+Input_Finanzen!S18),"n/a")</f>
        <v>8.1124887932232562E-2</v>
      </c>
      <c r="V18" s="60" t="s">
        <v>119</v>
      </c>
    </row>
    <row r="19" spans="1:22" x14ac:dyDescent="0.2">
      <c r="A19" s="19" t="s">
        <v>125</v>
      </c>
      <c r="B19" s="36" t="str">
        <f>Input_Finanzen!B19</f>
        <v>Targa Resources</v>
      </c>
      <c r="C19" s="28" t="s">
        <v>118</v>
      </c>
      <c r="D19" s="55">
        <f>IFERROR(Input_Finanzen!I19/Input_Finanzen!L19,"n/a")</f>
        <v>3.562632827813887</v>
      </c>
      <c r="E19" s="55">
        <f>IFERROR(Input_Finanzen!L19/Input_Finanzen!M19,"n/a")</f>
        <v>5.6830440900562857</v>
      </c>
      <c r="F19" s="55">
        <f>IFERROR(Input_Finanzen!J19/Input_Finanzen!M19,"n/a")</f>
        <v>3.9061913696060038</v>
      </c>
      <c r="G19" s="56">
        <f>IFERROR(Input_Finanzen!P19,"n/a")</f>
        <v>584.09999999999991</v>
      </c>
      <c r="H19" s="57">
        <f>IF(Input_Finanzen!I19&lt;=0,"n.m.",IFERROR(Input_Finanzen!P19/Input_Finanzen!I19,"n/a"))</f>
        <v>3.3828903702588266E-2</v>
      </c>
      <c r="I19" s="57">
        <f>IFERROR(Input_Finanzen!P19/Input_Finanzen!G19,"n/a")</f>
        <v>3.3506573965718996E-2</v>
      </c>
      <c r="J19" s="55">
        <f>IFERROR(Input_Finanzen!O19/Input_Finanzen!K19,"n/a")</f>
        <v>2.1997624232825186</v>
      </c>
      <c r="K19" s="56">
        <f>IFERROR(IF(Input_Finanzen!Q19="",0,Input_Finanzen!Q19)+IF(Input_Finanzen!R19="",0,Input_Finanzen!R19),"n/a")</f>
        <v>1456.9</v>
      </c>
      <c r="L19" s="57">
        <f>IF(Input_Finanzen!P19&lt;=0,"n.m.",IFERROR(K19/Input_Finanzen!P19,"n/a"))</f>
        <v>2.494264680705359</v>
      </c>
      <c r="M19" s="56">
        <f>IF(Input_Finanzen!T19="","n/v",Input_Finanzen!T19)</f>
        <v>1520</v>
      </c>
      <c r="N19" s="57">
        <f>IF(Input_Finanzen!T19="","n/v",IFERROR(Input_Finanzen!T19/Input_Finanzen!G19,"n/a"))</f>
        <v>8.7193960670934573E-2</v>
      </c>
      <c r="O19" s="58" t="str">
        <f>IF(Input_Ratings!E19="","n/v",Input_Ratings!E19&amp;" ("&amp;Input_Ratings!F19&amp;")")</f>
        <v>Baa3 (positive)</v>
      </c>
      <c r="P19" s="58" t="str">
        <f>IF(Input_Ratings!G19="","n/v",Input_Ratings!G19&amp;" ("&amp;Input_Ratings!H19&amp;")")</f>
        <v>BBB (stable)</v>
      </c>
      <c r="Q19" s="58" t="str">
        <f>IF(Input_Ratings!I19="","n/v",Input_Ratings!I19&amp;IF(Input_Ratings!J19=""," "," ("&amp;Input_Ratings!J19&amp;")"))</f>
        <v>BBB- (positive)</v>
      </c>
      <c r="R19" s="59">
        <f>Agentur_Bruecke!J20</f>
        <v>3.6137496395765543</v>
      </c>
      <c r="S19" s="59">
        <f>Agentur_Bruecke!Q20</f>
        <v>3.6081785228817407</v>
      </c>
      <c r="T19" s="59">
        <f>Agentur_Bruecke!U20</f>
        <v>3.6137496395765543</v>
      </c>
      <c r="U19" s="57">
        <f>IFERROR(Input_Finanzen!J19*(1-Input_Finanzen!U19)/(Input_Finanzen!G19+Input_Finanzen!S19),"n/a")</f>
        <v>0.12706972702804131</v>
      </c>
      <c r="V19" s="60" t="s">
        <v>119</v>
      </c>
    </row>
    <row r="20" spans="1:22" x14ac:dyDescent="0.2">
      <c r="A20" s="19" t="s">
        <v>128</v>
      </c>
      <c r="B20" s="36" t="str">
        <f>Input_Finanzen!B20</f>
        <v>Marathon Petroleum</v>
      </c>
      <c r="C20" s="30" t="s">
        <v>130</v>
      </c>
      <c r="D20" s="55">
        <f>IFERROR(Input_Finanzen!I20/Input_Finanzen!L20,"n/a")</f>
        <v>2.5302373938658813</v>
      </c>
      <c r="E20" s="55">
        <f>IFERROR(Input_Finanzen!L20/Input_Finanzen!M20,"n/a")</f>
        <v>7.751511081262592</v>
      </c>
      <c r="F20" s="55">
        <f>IFERROR(Input_Finanzen!J20/Input_Finanzen!M20,"n/a")</f>
        <v>5.568166554734721</v>
      </c>
      <c r="G20" s="56">
        <f>IFERROR(Input_Finanzen!P20,"n/a")</f>
        <v>4767</v>
      </c>
      <c r="H20" s="57">
        <f>IF(Input_Finanzen!I20&lt;=0,"n.m.",IFERROR(Input_Finanzen!P20/Input_Finanzen!I20,"n/a"))</f>
        <v>0.16323106423777564</v>
      </c>
      <c r="I20" s="57">
        <f>IFERROR(Input_Finanzen!P20/Input_Finanzen!G20,"n/a")</f>
        <v>0.14499939165348583</v>
      </c>
      <c r="J20" s="55">
        <f>IFERROR(Input_Finanzen!O20/Input_Finanzen!K20,"n/a")</f>
        <v>1.0722854506305752</v>
      </c>
      <c r="K20" s="56">
        <f>IFERROR(IF(Input_Finanzen!Q20="",0,Input_Finanzen!Q20)+IF(Input_Finanzen!R20="",0,Input_Finanzen!R20),"n/a")</f>
        <v>4628</v>
      </c>
      <c r="L20" s="57">
        <f>IF(Input_Finanzen!P20&lt;=0,"n.m.",IFERROR(K20/Input_Finanzen!P20,"n/a"))</f>
        <v>0.97084119991608975</v>
      </c>
      <c r="M20" s="56">
        <f>IF(Input_Finanzen!T20="","n/v",Input_Finanzen!T20)</f>
        <v>4385</v>
      </c>
      <c r="N20" s="57">
        <f>IF(Input_Finanzen!T20="","n/v",IFERROR(Input_Finanzen!T20/Input_Finanzen!G20,"n/a"))</f>
        <v>0.13337997323275338</v>
      </c>
      <c r="O20" s="58" t="str">
        <f>IF(Input_Ratings!E20="","n/v",Input_Ratings!E20&amp;" ("&amp;Input_Ratings!F20&amp;")")</f>
        <v>Baa2 (stable)</v>
      </c>
      <c r="P20" s="58" t="str">
        <f>IF(Input_Ratings!G20="","n/v",Input_Ratings!G20&amp;" ("&amp;Input_Ratings!H20&amp;")")</f>
        <v>BBB (stable)</v>
      </c>
      <c r="Q20" s="58" t="str">
        <f>IF(Input_Ratings!I20="","n/v",Input_Ratings!I20&amp;IF(Input_Ratings!J20=""," "," ("&amp;Input_Ratings!J20&amp;")"))</f>
        <v>BBB (stable)</v>
      </c>
      <c r="R20" s="59">
        <f>Agentur_Bruecke!J21</f>
        <v>3.1532662192393737</v>
      </c>
      <c r="S20" s="59">
        <f>Agentur_Bruecke!Q21</f>
        <v>2.8422595078299775</v>
      </c>
      <c r="T20" s="59">
        <f>Agentur_Bruecke!U21</f>
        <v>3.0745413870246083</v>
      </c>
      <c r="U20" s="57">
        <f>IFERROR(Input_Finanzen!J20*(1-Input_Finanzen!U20)/(Input_Finanzen!G20+Input_Finanzen!S20),"n/a")</f>
        <v>0.1219617344776474</v>
      </c>
      <c r="V20" s="60" t="s">
        <v>119</v>
      </c>
    </row>
    <row r="21" spans="1:22" x14ac:dyDescent="0.2">
      <c r="A21" s="19" t="s">
        <v>131</v>
      </c>
      <c r="B21" s="36" t="str">
        <f>Input_Finanzen!B21</f>
        <v>Phillips 66</v>
      </c>
      <c r="C21" s="30" t="s">
        <v>130</v>
      </c>
      <c r="D21" s="55">
        <f>IFERROR(Input_Finanzen!I21/Input_Finanzen!L21,"n/a")</f>
        <v>1.9238725693007861</v>
      </c>
      <c r="E21" s="55">
        <f>IFERROR(Input_Finanzen!L21/Input_Finanzen!M21,"n/a")</f>
        <v>9.6970912738214636</v>
      </c>
      <c r="F21" s="55">
        <f>IFERROR(Input_Finanzen!J21/Input_Finanzen!M21,"n/a")</f>
        <v>6.4363089267803408</v>
      </c>
      <c r="G21" s="56">
        <f>IFERROR(Input_Finanzen!P21,"n/a")</f>
        <v>2762</v>
      </c>
      <c r="H21" s="57">
        <f>IF(Input_Finanzen!I21&lt;=0,"n.m.",IFERROR(Input_Finanzen!P21/Input_Finanzen!I21,"n/a"))</f>
        <v>0.14849462365591398</v>
      </c>
      <c r="I21" s="57">
        <f>IFERROR(Input_Finanzen!P21/Input_Finanzen!G21,"n/a")</f>
        <v>0.14008926759991885</v>
      </c>
      <c r="J21" s="55">
        <f>IFERROR(Input_Finanzen!O21/Input_Finanzen!K21,"n/a")</f>
        <v>0.676714856967087</v>
      </c>
      <c r="K21" s="56">
        <f>IFERROR(IF(Input_Finanzen!Q21="",0,Input_Finanzen!Q21)+IF(Input_Finanzen!R21="",0,Input_Finanzen!R21),"n/a")</f>
        <v>3129</v>
      </c>
      <c r="L21" s="57">
        <f>IF(Input_Finanzen!P21&lt;=0,"n.m.",IFERROR(K21/Input_Finanzen!P21,"n/a"))</f>
        <v>1.1328747284576395</v>
      </c>
      <c r="M21" s="56">
        <f>IF(Input_Finanzen!T21="","n/v",Input_Finanzen!T21)</f>
        <v>2320</v>
      </c>
      <c r="N21" s="57">
        <f>IF(Input_Finanzen!T21="","n/v",IFERROR(Input_Finanzen!T21/Input_Finanzen!G21,"n/a"))</f>
        <v>0.1176709271657537</v>
      </c>
      <c r="O21" s="58" t="str">
        <f>IF(Input_Ratings!E21="","n/v",Input_Ratings!E21&amp;" ("&amp;Input_Ratings!F21&amp;")")</f>
        <v>Baa1 (stable)</v>
      </c>
      <c r="P21" s="58" t="str">
        <f>IF(Input_Ratings!G21="","n/v",Input_Ratings!G21&amp;" ("&amp;Input_Ratings!H21&amp;")")</f>
        <v>BBB+ (stable)</v>
      </c>
      <c r="Q21" s="58" t="str">
        <f>IF(Input_Ratings!I21="","n/v",Input_Ratings!I21&amp;IF(Input_Ratings!J21=""," "," ("&amp;Input_Ratings!J21&amp;")"))</f>
        <v>BBB+ (stable)</v>
      </c>
      <c r="R21" s="59">
        <f>Agentur_Bruecke!J22</f>
        <v>2.1893148369132858</v>
      </c>
      <c r="S21" s="59">
        <f>Agentur_Bruecke!Q22</f>
        <v>2.1321101829753379</v>
      </c>
      <c r="T21" s="59">
        <f>Agentur_Bruecke!U22</f>
        <v>2.1465791567223547</v>
      </c>
      <c r="U21" s="57">
        <f>IFERROR(Input_Finanzen!J21*(1-Input_Finanzen!U21)/(Input_Finanzen!G21+Input_Finanzen!S21),"n/a")</f>
        <v>0.10731064878156833</v>
      </c>
      <c r="V21" s="60" t="s">
        <v>119</v>
      </c>
    </row>
    <row r="22" spans="1:22" x14ac:dyDescent="0.2">
      <c r="A22" s="19" t="s">
        <v>133</v>
      </c>
      <c r="B22" s="36" t="str">
        <f>Input_Finanzen!B22</f>
        <v>Valero Energy</v>
      </c>
      <c r="C22" s="30" t="s">
        <v>130</v>
      </c>
      <c r="D22" s="55">
        <f>IFERROR(Input_Finanzen!I22/Input_Finanzen!L22,"n/a")</f>
        <v>0.93563653573118788</v>
      </c>
      <c r="E22" s="55">
        <f>IFERROR(Input_Finanzen!L22/Input_Finanzen!M22,"n/a")</f>
        <v>11.401079136690647</v>
      </c>
      <c r="F22" s="55">
        <f>IFERROR(Input_Finanzen!J22/Input_Finanzen!M22,"n/a")</f>
        <v>5.721223021582734</v>
      </c>
      <c r="G22" s="56">
        <f>IFERROR(Input_Finanzen!P22,"n/a")</f>
        <v>3941</v>
      </c>
      <c r="H22" s="57">
        <f>IF(Input_Finanzen!I22&lt;=0,"n.m.",IFERROR(Input_Finanzen!P22/Input_Finanzen!I22,"n/a"))</f>
        <v>0.66447479345810145</v>
      </c>
      <c r="I22" s="57">
        <f>IFERROR(Input_Finanzen!P22/Input_Finanzen!G22,"n/a")</f>
        <v>0.37112722478576138</v>
      </c>
      <c r="J22" s="55">
        <f>IFERROR(Input_Finanzen!O22/Input_Finanzen!K22,"n/a")</f>
        <v>0.59689677010766307</v>
      </c>
      <c r="K22" s="56">
        <f>IFERROR(IF(Input_Finanzen!Q22="",0,Input_Finanzen!Q22)+IF(Input_Finanzen!R22="",0,Input_Finanzen!R22),"n/a")</f>
        <v>4003</v>
      </c>
      <c r="L22" s="57">
        <f>IF(Input_Finanzen!P22&lt;=0,"n.m.",IFERROR(K22/Input_Finanzen!P22,"n/a"))</f>
        <v>1.0157320477036285</v>
      </c>
      <c r="M22" s="56">
        <f>IF(Input_Finanzen!T22="","n/v",Input_Finanzen!T22)</f>
        <v>1513</v>
      </c>
      <c r="N22" s="57">
        <f>IF(Input_Finanzen!T22="","n/v",IFERROR(Input_Finanzen!T22/Input_Finanzen!G22,"n/a"))</f>
        <v>0.14248045955363028</v>
      </c>
      <c r="O22" s="58" t="str">
        <f>IF(Input_Ratings!E22="","n/v",Input_Ratings!E22&amp;" ("&amp;Input_Ratings!F22&amp;")")</f>
        <v>Baa2 (stable)</v>
      </c>
      <c r="P22" s="58" t="str">
        <f>IF(Input_Ratings!G22="","n/v",Input_Ratings!G22&amp;" ("&amp;Input_Ratings!H22&amp;")")</f>
        <v>BBB (stable)</v>
      </c>
      <c r="Q22" s="58" t="str">
        <f>IF(Input_Ratings!I22="","n/v",Input_Ratings!I22&amp;IF(Input_Ratings!J22=""," "," ("&amp;Input_Ratings!J22&amp;")"))</f>
        <v>BBB (stable)</v>
      </c>
      <c r="R22" s="59">
        <f>Agentur_Bruecke!J23</f>
        <v>1.6091365461847389</v>
      </c>
      <c r="S22" s="59">
        <f>Agentur_Bruecke!Q23</f>
        <v>1.0199129852744311</v>
      </c>
      <c r="T22" s="59">
        <f>Agentur_Bruecke!U23</f>
        <v>1.5666666666666667</v>
      </c>
      <c r="U22" s="57">
        <f>IFERROR(Input_Finanzen!J22*(1-Input_Finanzen!U22)/(Input_Finanzen!G22+Input_Finanzen!S22),"n/a")</f>
        <v>6.387132199253838E-2</v>
      </c>
      <c r="V22" s="60" t="s">
        <v>119</v>
      </c>
    </row>
    <row r="23" spans="1:22" x14ac:dyDescent="0.2">
      <c r="A23" s="19" t="s">
        <v>135</v>
      </c>
      <c r="B23" s="36" t="str">
        <f>Input_Finanzen!B23</f>
        <v>SLB (Schlumberger)</v>
      </c>
      <c r="C23" s="31" t="s">
        <v>137</v>
      </c>
      <c r="D23" s="55">
        <f>IFERROR(Input_Finanzen!I23/Input_Finanzen!L23,"n/a")</f>
        <v>1.0552589428723973</v>
      </c>
      <c r="E23" s="55">
        <f>IFERROR(Input_Finanzen!L23/Input_Finanzen!M23,"n/a")</f>
        <v>13.426523297491039</v>
      </c>
      <c r="F23" s="55">
        <f>IFERROR(Input_Finanzen!J23/Input_Finanzen!M23,"n/a")</f>
        <v>8.6899641577060933</v>
      </c>
      <c r="G23" s="56">
        <f>IFERROR(Input_Finanzen!P23,"n/a")</f>
        <v>4795</v>
      </c>
      <c r="H23" s="57">
        <f>IF(Input_Finanzen!I23&lt;=0,"n.m.",IFERROR(Input_Finanzen!P23/Input_Finanzen!I23,"n/a"))</f>
        <v>0.60650139134834302</v>
      </c>
      <c r="I23" s="57">
        <f>IFERROR(Input_Finanzen!P23/Input_Finanzen!G23,"n/a")</f>
        <v>0.43821970389325532</v>
      </c>
      <c r="J23" s="55">
        <f>IFERROR(Input_Finanzen!O23/Input_Finanzen!K23,"n/a")</f>
        <v>0.64093832765796444</v>
      </c>
      <c r="K23" s="56">
        <f>IFERROR(IF(Input_Finanzen!Q23="",0,Input_Finanzen!Q23)+IF(Input_Finanzen!R23="",0,Input_Finanzen!R23),"n/a")</f>
        <v>4016</v>
      </c>
      <c r="L23" s="57">
        <f>IF(Input_Finanzen!P23&lt;=0,"n.m.",IFERROR(K23/Input_Finanzen!P23,"n/a"))</f>
        <v>0.83753910323253389</v>
      </c>
      <c r="M23" s="56">
        <f>IF(Input_Finanzen!T23="","n/v",Input_Finanzen!T23)</f>
        <v>2800</v>
      </c>
      <c r="N23" s="57">
        <f>IF(Input_Finanzen!T23="","n/v",IFERROR(Input_Finanzen!T23/Input_Finanzen!G23,"n/a"))</f>
        <v>0.25589471760190091</v>
      </c>
      <c r="O23" s="58" t="str">
        <f>IF(Input_Ratings!E23="","n/v",Input_Ratings!E23&amp;" ("&amp;Input_Ratings!F23&amp;")")</f>
        <v>A3 (stable)</v>
      </c>
      <c r="P23" s="58" t="str">
        <f>IF(Input_Ratings!G23="","n/v",Input_Ratings!G23&amp;" ("&amp;Input_Ratings!H23&amp;")")</f>
        <v>A- (stable)</v>
      </c>
      <c r="Q23" s="58" t="str">
        <f>IF(Input_Ratings!I23="","n/v",Input_Ratings!I23&amp;IF(Input_Ratings!J23=""," "," ("&amp;Input_Ratings!J23&amp;")"))</f>
        <v xml:space="preserve">n.r. </v>
      </c>
      <c r="R23" s="59">
        <f>Agentur_Bruecke!J24</f>
        <v>1.572159969088099</v>
      </c>
      <c r="S23" s="59">
        <f>Agentur_Bruecke!Q24</f>
        <v>1.1811244204018547</v>
      </c>
      <c r="T23" s="59">
        <f>Agentur_Bruecke!U24</f>
        <v>1.5258887171561051</v>
      </c>
      <c r="U23" s="57">
        <f>IFERROR(Input_Finanzen!J23*(1-Input_Finanzen!U23)/(Input_Finanzen!G23+Input_Finanzen!S23),"n/a")</f>
        <v>0.10200001885920661</v>
      </c>
      <c r="V23" s="60" t="s">
        <v>119</v>
      </c>
    </row>
    <row r="24" spans="1:22" x14ac:dyDescent="0.2">
      <c r="A24" s="19" t="s">
        <v>139</v>
      </c>
      <c r="B24" s="36" t="str">
        <f>Input_Finanzen!B24</f>
        <v>Baker Hughes</v>
      </c>
      <c r="C24" s="31" t="s">
        <v>137</v>
      </c>
      <c r="D24" s="55">
        <f>IFERROR(Input_Finanzen!I24/Input_Finanzen!L24,"n/a")</f>
        <v>0.5533006764637276</v>
      </c>
      <c r="E24" s="55">
        <f>IFERROR(Input_Finanzen!L24/Input_Finanzen!M24,"n/a")</f>
        <v>19.310810810810811</v>
      </c>
      <c r="F24" s="55">
        <f>IFERROR(Input_Finanzen!J24/Input_Finanzen!M24,"n/a")</f>
        <v>13.95945945945946</v>
      </c>
      <c r="G24" s="56">
        <f>IFERROR(Input_Finanzen!P24,"n/a")</f>
        <v>2537</v>
      </c>
      <c r="H24" s="57">
        <f>IF(Input_Finanzen!I24&lt;=0,"n.m.",IFERROR(Input_Finanzen!P24/Input_Finanzen!I24,"n/a"))</f>
        <v>1.0695615514333896</v>
      </c>
      <c r="I24" s="57">
        <f>IFERROR(Input_Finanzen!P24/Input_Finanzen!G24,"n/a")</f>
        <v>0.41678988007228518</v>
      </c>
      <c r="J24" s="55">
        <f>IFERROR(Input_Finanzen!O24/Input_Finanzen!K24,"n/a")</f>
        <v>1.0715488215488216</v>
      </c>
      <c r="K24" s="56">
        <f>IFERROR(IF(Input_Finanzen!Q24="",0,Input_Finanzen!Q24)+IF(Input_Finanzen!R24="",0,Input_Finanzen!R24),"n/a")</f>
        <v>1294</v>
      </c>
      <c r="L24" s="57">
        <f>IF(Input_Finanzen!P24&lt;=0,"n.m.",IFERROR(K24/Input_Finanzen!P24,"n/a"))</f>
        <v>0.51005124162396531</v>
      </c>
      <c r="M24" s="56">
        <f>IF(Input_Finanzen!T24="","n/v",Input_Finanzen!T24)</f>
        <v>2076</v>
      </c>
      <c r="N24" s="57">
        <f>IF(Input_Finanzen!T24="","n/v",IFERROR(Input_Finanzen!T24/Input_Finanzen!G24,"n/a"))</f>
        <v>0.34105470675209465</v>
      </c>
      <c r="O24" s="58" t="str">
        <f>IF(Input_Ratings!E24="","n/v",Input_Ratings!E24&amp;" ("&amp;Input_Ratings!F24&amp;")")</f>
        <v>Baa1 (stable)</v>
      </c>
      <c r="P24" s="58" t="str">
        <f>IF(Input_Ratings!G24="","n/v",Input_Ratings!G24&amp;" ("&amp;Input_Ratings!H24&amp;")")</f>
        <v>BBB+ (stable)</v>
      </c>
      <c r="Q24" s="58" t="str">
        <f>IF(Input_Ratings!I24="","n/v",Input_Ratings!I24&amp;IF(Input_Ratings!J24=""," "," ("&amp;Input_Ratings!J24&amp;")"))</f>
        <v xml:space="preserve">n.r. </v>
      </c>
      <c r="R24" s="59">
        <f>Agentur_Bruecke!J25</f>
        <v>1.7408911580413089</v>
      </c>
      <c r="S24" s="59">
        <f>Agentur_Bruecke!Q25</f>
        <v>0.87874216755627754</v>
      </c>
      <c r="T24" s="59">
        <f>Agentur_Bruecke!U25</f>
        <v>1.5553492689719193</v>
      </c>
      <c r="U24" s="57">
        <f>IFERROR(Input_Finanzen!J24*(1-Input_Finanzen!U24)/(Input_Finanzen!G24+Input_Finanzen!S24),"n/a")</f>
        <v>0.11262212937057606</v>
      </c>
      <c r="V24" s="60" t="s">
        <v>119</v>
      </c>
    </row>
    <row r="25" spans="1:22" x14ac:dyDescent="0.2">
      <c r="A25" s="19" t="s">
        <v>141</v>
      </c>
      <c r="B25" s="36" t="str">
        <f>Input_Finanzen!B25</f>
        <v>Halliburton</v>
      </c>
      <c r="C25" s="31" t="s">
        <v>137</v>
      </c>
      <c r="D25" s="55">
        <f>IFERROR(Input_Finanzen!I25/Input_Finanzen!L25,"n/a")</f>
        <v>1.4581861012956419</v>
      </c>
      <c r="E25" s="55">
        <f>IFERROR(Input_Finanzen!L25/Input_Finanzen!M25,"n/a")</f>
        <v>9.6477272727272734</v>
      </c>
      <c r="F25" s="55">
        <f>IFERROR(Input_Finanzen!J25/Input_Finanzen!M25,"n/a")</f>
        <v>6.4204545454545459</v>
      </c>
      <c r="G25" s="56">
        <f>IFERROR(Input_Finanzen!P25,"n/a")</f>
        <v>1672</v>
      </c>
      <c r="H25" s="57">
        <f>IF(Input_Finanzen!I25&lt;=0,"n.m.",IFERROR(Input_Finanzen!P25/Input_Finanzen!I25,"n/a"))</f>
        <v>0.33764135702746367</v>
      </c>
      <c r="I25" s="57">
        <f>IFERROR(Input_Finanzen!P25/Input_Finanzen!G25,"n/a")</f>
        <v>0.23358480022352612</v>
      </c>
      <c r="J25" s="55">
        <f>IFERROR(Input_Finanzen!O25/Input_Finanzen!K25,"n/a")</f>
        <v>1.1038732394366197</v>
      </c>
      <c r="K25" s="56">
        <f>IFERROR(IF(Input_Finanzen!Q25="",0,Input_Finanzen!Q25)+IF(Input_Finanzen!R25="",0,Input_Finanzen!R25),"n/a")</f>
        <v>1586</v>
      </c>
      <c r="L25" s="57">
        <f>IF(Input_Finanzen!P25&lt;=0,"n.m.",IFERROR(K25/Input_Finanzen!P25,"n/a"))</f>
        <v>0.94856459330143539</v>
      </c>
      <c r="M25" s="56">
        <f>IF(Input_Finanzen!T25="","n/v",Input_Finanzen!T25)</f>
        <v>90</v>
      </c>
      <c r="N25" s="57">
        <f>IF(Input_Finanzen!T25="","n/v",IFERROR(Input_Finanzen!T25/Input_Finanzen!G25,"n/a"))</f>
        <v>1.2573344509639563E-2</v>
      </c>
      <c r="O25" s="58" t="str">
        <f>IF(Input_Ratings!E25="","n/v",Input_Ratings!E25&amp;" ("&amp;Input_Ratings!F25&amp;")")</f>
        <v>Baa2 (stable)</v>
      </c>
      <c r="P25" s="58" t="str">
        <f>IF(Input_Ratings!G25="","n/v",Input_Ratings!G25&amp;" ("&amp;Input_Ratings!H25&amp;")")</f>
        <v>BBB+ (positive)</v>
      </c>
      <c r="Q25" s="58" t="str">
        <f>IF(Input_Ratings!I25="","n/v",Input_Ratings!I25&amp;IF(Input_Ratings!J25=""," "," ("&amp;Input_Ratings!J25&amp;")"))</f>
        <v xml:space="preserve">n.r. </v>
      </c>
      <c r="R25" s="59">
        <f>Agentur_Bruecke!J26</f>
        <v>2.3601276842716192</v>
      </c>
      <c r="S25" s="59">
        <f>Agentur_Bruecke!Q26</f>
        <v>1.7199651770168312</v>
      </c>
      <c r="T25" s="59">
        <f>Agentur_Bruecke!U26</f>
        <v>2.3601276842716192</v>
      </c>
      <c r="U25" s="57">
        <f>IFERROR(Input_Finanzen!J25*(1-Input_Finanzen!U25)/(Input_Finanzen!G25+Input_Finanzen!S25),"n/a")</f>
        <v>9.3344325674743669E-2</v>
      </c>
      <c r="V25" s="60" t="s">
        <v>119</v>
      </c>
    </row>
    <row r="27" spans="1:22" x14ac:dyDescent="0.2">
      <c r="A27" s="12" t="s">
        <v>229</v>
      </c>
      <c r="B27" s="12" t="s">
        <v>230</v>
      </c>
      <c r="C27" s="45"/>
      <c r="D27" s="47">
        <f t="shared" ref="D27:N27" si="0">IFERROR(MEDIAN(D6:D25),"n/a")</f>
        <v>1.1854758969034254</v>
      </c>
      <c r="E27" s="47">
        <f t="shared" si="0"/>
        <v>13.380688136094506</v>
      </c>
      <c r="F27" s="47">
        <f t="shared" si="0"/>
        <v>6.9218243972857714</v>
      </c>
      <c r="G27" s="46">
        <f t="shared" si="0"/>
        <v>3005</v>
      </c>
      <c r="H27" s="61">
        <f t="shared" si="0"/>
        <v>0.37560177829951469</v>
      </c>
      <c r="I27" s="61">
        <f t="shared" si="0"/>
        <v>0.34428670824635077</v>
      </c>
      <c r="J27" s="47">
        <f t="shared" si="0"/>
        <v>1.0343653625204088</v>
      </c>
      <c r="K27" s="46">
        <f t="shared" si="0"/>
        <v>2631</v>
      </c>
      <c r="L27" s="61">
        <f t="shared" si="0"/>
        <v>0.95970289660876262</v>
      </c>
      <c r="M27" s="46">
        <f t="shared" si="0"/>
        <v>1789.5</v>
      </c>
      <c r="N27" s="61">
        <f t="shared" si="0"/>
        <v>0.11708535018836863</v>
      </c>
      <c r="O27" s="62"/>
      <c r="P27" s="62"/>
      <c r="Q27" s="62"/>
      <c r="R27" s="47">
        <f>IFERROR(MEDIAN(R6:R25),"n/a")</f>
        <v>1.5906482576364189</v>
      </c>
      <c r="S27" s="47">
        <f>IFERROR(MEDIAN(S6:S25),"n/a")</f>
        <v>1.4250883202239466</v>
      </c>
      <c r="T27" s="47">
        <f>IFERROR(MEDIAN(T6:T25),"n/a")</f>
        <v>1.5406189930640122</v>
      </c>
      <c r="U27" s="61">
        <f>IFERROR(MEDIAN(U6:U25),"n/a")</f>
        <v>9.5354477920998576E-2</v>
      </c>
      <c r="V27" s="63">
        <f>IFERROR(MEDIAN(V6:V25),"n/a")</f>
        <v>9.7312082894274674</v>
      </c>
    </row>
    <row r="28" spans="1:22" x14ac:dyDescent="0.2">
      <c r="A28" s="48" t="s">
        <v>229</v>
      </c>
      <c r="B28" s="48" t="s">
        <v>231</v>
      </c>
      <c r="C28" s="49"/>
      <c r="D28" s="50">
        <f t="shared" ref="D28:N28" si="1">IFERROR(MEDIAN(D6:D7),"n/a")</f>
        <v>0.77032605473542914</v>
      </c>
      <c r="E28" s="50">
        <f t="shared" si="1"/>
        <v>73.154471411771596</v>
      </c>
      <c r="F28" s="50">
        <f t="shared" si="1"/>
        <v>43.330244831716513</v>
      </c>
      <c r="G28" s="24">
        <f t="shared" si="1"/>
        <v>20102</v>
      </c>
      <c r="H28" s="64">
        <f t="shared" si="1"/>
        <v>0.55041597341596471</v>
      </c>
      <c r="I28" s="64">
        <f t="shared" si="1"/>
        <v>0.43480406589014187</v>
      </c>
      <c r="J28" s="50">
        <f t="shared" si="1"/>
        <v>0.97632452937148884</v>
      </c>
      <c r="K28" s="24">
        <f t="shared" si="1"/>
        <v>31167</v>
      </c>
      <c r="L28" s="64">
        <f t="shared" si="1"/>
        <v>1.542424624404406</v>
      </c>
      <c r="M28" s="24">
        <f t="shared" si="1"/>
        <v>14218.5</v>
      </c>
      <c r="N28" s="64">
        <f t="shared" si="1"/>
        <v>0.29958664173859484</v>
      </c>
      <c r="O28" s="65"/>
      <c r="P28" s="65"/>
      <c r="Q28" s="65"/>
      <c r="R28" s="50">
        <f>IFERROR(MEDIAN(R6:R7),"n/a")</f>
        <v>1.089058221296237</v>
      </c>
      <c r="S28" s="50">
        <f>IFERROR(MEDIAN(S6:S7),"n/a")</f>
        <v>1.1254033605393299</v>
      </c>
      <c r="T28" s="50">
        <f>IFERROR(MEDIAN(T6:T7),"n/a")</f>
        <v>1.0068114418375944</v>
      </c>
      <c r="U28" s="64">
        <f>IFERROR(MEDIAN(U6:U7),"n/a")</f>
        <v>7.5969194406236756E-2</v>
      </c>
      <c r="V28" s="66">
        <f>IFERROR(MEDIAN(V6:V7),"n/a")</f>
        <v>8.9547971590225117</v>
      </c>
    </row>
    <row r="29" spans="1:22" x14ac:dyDescent="0.2">
      <c r="A29" s="48" t="s">
        <v>229</v>
      </c>
      <c r="B29" s="48" t="s">
        <v>232</v>
      </c>
      <c r="C29" s="51"/>
      <c r="D29" s="50">
        <f t="shared" ref="D29:N29" si="2">IFERROR(MEDIAN(D8:D15),"n/a")</f>
        <v>0.86636983418246294</v>
      </c>
      <c r="E29" s="50">
        <f t="shared" si="2"/>
        <v>22.368280503690841</v>
      </c>
      <c r="F29" s="50">
        <f t="shared" si="2"/>
        <v>9.2443683376856889</v>
      </c>
      <c r="G29" s="24">
        <f t="shared" si="2"/>
        <v>3524</v>
      </c>
      <c r="H29" s="64">
        <f t="shared" si="2"/>
        <v>0.43047035366389325</v>
      </c>
      <c r="I29" s="64">
        <f t="shared" si="2"/>
        <v>0.36546001487669999</v>
      </c>
      <c r="J29" s="50">
        <f t="shared" si="2"/>
        <v>0.94176082462549204</v>
      </c>
      <c r="K29" s="24">
        <f t="shared" si="2"/>
        <v>1631.5</v>
      </c>
      <c r="L29" s="64">
        <f t="shared" si="2"/>
        <v>0.50500321263103287</v>
      </c>
      <c r="M29" s="24">
        <f t="shared" si="2"/>
        <v>1230.5</v>
      </c>
      <c r="N29" s="64">
        <f t="shared" si="2"/>
        <v>7.810027910692488E-2</v>
      </c>
      <c r="O29" s="65"/>
      <c r="P29" s="65"/>
      <c r="Q29" s="65"/>
      <c r="R29" s="50">
        <f>IFERROR(MEDIAN(R8:R15),"n/a")</f>
        <v>1.0542308668778517</v>
      </c>
      <c r="S29" s="50">
        <f>IFERROR(MEDIAN(S8:S15),"n/a")</f>
        <v>1.0047571055817823</v>
      </c>
      <c r="T29" s="50">
        <f>IFERROR(MEDIAN(T8:T15),"n/a")</f>
        <v>1.031898460379135</v>
      </c>
      <c r="U29" s="64">
        <f>IFERROR(MEDIAN(U8:U15),"n/a")</f>
        <v>9.1395548798977044E-2</v>
      </c>
      <c r="V29" s="66">
        <f>IFERROR(MEDIAN(V8:V15),"n/a")</f>
        <v>10.261594273550106</v>
      </c>
    </row>
    <row r="30" spans="1:22" x14ac:dyDescent="0.2">
      <c r="A30" s="48" t="s">
        <v>229</v>
      </c>
      <c r="B30" s="48" t="s">
        <v>233</v>
      </c>
      <c r="C30" s="52"/>
      <c r="D30" s="50">
        <f t="shared" ref="D30:N30" si="3">IFERROR(MEDIAN(D16:D19),"n/a")</f>
        <v>4.3851132933560555</v>
      </c>
      <c r="E30" s="50">
        <f t="shared" si="3"/>
        <v>4.3032164229434571</v>
      </c>
      <c r="F30" s="50">
        <f t="shared" si="3"/>
        <v>3.064850806235186</v>
      </c>
      <c r="G30" s="24">
        <f t="shared" si="3"/>
        <v>1726</v>
      </c>
      <c r="H30" s="64">
        <f t="shared" si="3"/>
        <v>5.5903761115672038E-2</v>
      </c>
      <c r="I30" s="64">
        <f t="shared" si="3"/>
        <v>5.5771690395565524E-2</v>
      </c>
      <c r="J30" s="50">
        <f t="shared" si="3"/>
        <v>2.0833456690825973</v>
      </c>
      <c r="K30" s="24">
        <f t="shared" si="3"/>
        <v>2523</v>
      </c>
      <c r="L30" s="64">
        <f t="shared" si="3"/>
        <v>1.7580393902982023</v>
      </c>
      <c r="M30" s="24">
        <f t="shared" si="3"/>
        <v>1844</v>
      </c>
      <c r="N30" s="64">
        <f t="shared" si="3"/>
        <v>7.7468804851918871E-2</v>
      </c>
      <c r="O30" s="65"/>
      <c r="P30" s="65"/>
      <c r="Q30" s="65"/>
      <c r="R30" s="50">
        <f>IFERROR(MEDIAN(R16:R19),"n/a")</f>
        <v>4.3418011495070026</v>
      </c>
      <c r="S30" s="50">
        <f>IFERROR(MEDIAN(S16:S19),"n/a")</f>
        <v>4.4745683424386105</v>
      </c>
      <c r="T30" s="50">
        <f>IFERROR(MEDIAN(T16:T19),"n/a")</f>
        <v>4.3418011495070026</v>
      </c>
      <c r="U30" s="64">
        <f>IFERROR(MEDIAN(U16:U19),"n/a")</f>
        <v>7.7258519237991069E-2</v>
      </c>
      <c r="V30" s="66" t="str">
        <f>IFERROR(MEDIAN(V16:V19),"n/a")</f>
        <v>n/a</v>
      </c>
    </row>
    <row r="31" spans="1:22" x14ac:dyDescent="0.2">
      <c r="A31" s="48" t="s">
        <v>229</v>
      </c>
      <c r="B31" s="48" t="s">
        <v>234</v>
      </c>
      <c r="C31" s="53"/>
      <c r="D31" s="50">
        <f t="shared" ref="D31:N31" si="4">IFERROR(MEDIAN(D20:D22),"n/a")</f>
        <v>1.9238725693007861</v>
      </c>
      <c r="E31" s="50">
        <f t="shared" si="4"/>
        <v>9.6970912738214636</v>
      </c>
      <c r="F31" s="50">
        <f t="shared" si="4"/>
        <v>5.721223021582734</v>
      </c>
      <c r="G31" s="24">
        <f t="shared" si="4"/>
        <v>3941</v>
      </c>
      <c r="H31" s="64">
        <f t="shared" si="4"/>
        <v>0.16323106423777564</v>
      </c>
      <c r="I31" s="64">
        <f t="shared" si="4"/>
        <v>0.14499939165348583</v>
      </c>
      <c r="J31" s="50">
        <f t="shared" si="4"/>
        <v>0.676714856967087</v>
      </c>
      <c r="K31" s="24">
        <f t="shared" si="4"/>
        <v>4003</v>
      </c>
      <c r="L31" s="64">
        <f t="shared" si="4"/>
        <v>1.0157320477036285</v>
      </c>
      <c r="M31" s="24">
        <f t="shared" si="4"/>
        <v>2320</v>
      </c>
      <c r="N31" s="64">
        <f t="shared" si="4"/>
        <v>0.13337997323275338</v>
      </c>
      <c r="O31" s="65"/>
      <c r="P31" s="65"/>
      <c r="Q31" s="65"/>
      <c r="R31" s="50">
        <f>IFERROR(MEDIAN(R20:R22),"n/a")</f>
        <v>2.1893148369132858</v>
      </c>
      <c r="S31" s="50">
        <f>IFERROR(MEDIAN(S20:S22),"n/a")</f>
        <v>2.1321101829753379</v>
      </c>
      <c r="T31" s="50">
        <f>IFERROR(MEDIAN(T20:T22),"n/a")</f>
        <v>2.1465791567223547</v>
      </c>
      <c r="U31" s="64">
        <f>IFERROR(MEDIAN(U20:U22),"n/a")</f>
        <v>0.10731064878156833</v>
      </c>
      <c r="V31" s="66" t="str">
        <f>IFERROR(MEDIAN(V20:V22),"n/a")</f>
        <v>n/a</v>
      </c>
    </row>
    <row r="32" spans="1:22" x14ac:dyDescent="0.2">
      <c r="A32" s="48" t="s">
        <v>229</v>
      </c>
      <c r="B32" s="48" t="s">
        <v>235</v>
      </c>
      <c r="C32" s="54"/>
      <c r="D32" s="50">
        <f t="shared" ref="D32:N32" si="5">IFERROR(MEDIAN(D23:D25),"n/a")</f>
        <v>1.0552589428723973</v>
      </c>
      <c r="E32" s="50">
        <f t="shared" si="5"/>
        <v>13.426523297491039</v>
      </c>
      <c r="F32" s="50">
        <f t="shared" si="5"/>
        <v>8.6899641577060933</v>
      </c>
      <c r="G32" s="24">
        <f t="shared" si="5"/>
        <v>2537</v>
      </c>
      <c r="H32" s="64">
        <f t="shared" si="5"/>
        <v>0.60650139134834302</v>
      </c>
      <c r="I32" s="64">
        <f t="shared" si="5"/>
        <v>0.41678988007228518</v>
      </c>
      <c r="J32" s="50">
        <f t="shared" si="5"/>
        <v>1.0715488215488216</v>
      </c>
      <c r="K32" s="24">
        <f t="shared" si="5"/>
        <v>1586</v>
      </c>
      <c r="L32" s="64">
        <f t="shared" si="5"/>
        <v>0.83753910323253389</v>
      </c>
      <c r="M32" s="24">
        <f t="shared" si="5"/>
        <v>2076</v>
      </c>
      <c r="N32" s="64">
        <f t="shared" si="5"/>
        <v>0.25589471760190091</v>
      </c>
      <c r="O32" s="65"/>
      <c r="P32" s="65"/>
      <c r="Q32" s="65"/>
      <c r="R32" s="50">
        <f>IFERROR(MEDIAN(R23:R25),"n/a")</f>
        <v>1.7408911580413089</v>
      </c>
      <c r="S32" s="50">
        <f>IFERROR(MEDIAN(S23:S25),"n/a")</f>
        <v>1.1811244204018547</v>
      </c>
      <c r="T32" s="50">
        <f>IFERROR(MEDIAN(T23:T25),"n/a")</f>
        <v>1.5553492689719193</v>
      </c>
      <c r="U32" s="64">
        <f>IFERROR(MEDIAN(U23:U25),"n/a")</f>
        <v>0.10200001885920661</v>
      </c>
      <c r="V32" s="66" t="str">
        <f>IFERROR(MEDIAN(V23:V25),"n/a")</f>
        <v>n/a</v>
      </c>
    </row>
    <row r="34" spans="1:22" ht="15.75" customHeight="1" x14ac:dyDescent="0.2">
      <c r="A34" s="11" t="s">
        <v>236</v>
      </c>
      <c r="B34" s="5" t="s">
        <v>255</v>
      </c>
      <c r="C34" s="5"/>
      <c r="D34" s="5"/>
      <c r="E34" s="5"/>
      <c r="F34" s="5"/>
      <c r="G34" s="5"/>
      <c r="H34" s="5"/>
      <c r="I34" s="5"/>
      <c r="J34" s="5"/>
      <c r="K34" s="5"/>
      <c r="L34" s="5"/>
      <c r="M34" s="5"/>
      <c r="N34" s="5"/>
      <c r="O34" s="5"/>
      <c r="P34" s="5"/>
      <c r="Q34" s="5"/>
      <c r="R34" s="5"/>
      <c r="S34" s="5"/>
      <c r="T34" s="5"/>
      <c r="U34" s="5"/>
      <c r="V34" s="5"/>
    </row>
    <row r="35" spans="1:22" x14ac:dyDescent="0.2">
      <c r="B35" s="5"/>
      <c r="C35" s="5"/>
      <c r="D35" s="5"/>
      <c r="E35" s="5"/>
      <c r="F35" s="5"/>
      <c r="G35" s="5"/>
      <c r="H35" s="5"/>
      <c r="I35" s="5"/>
      <c r="J35" s="5"/>
      <c r="K35" s="5"/>
      <c r="L35" s="5"/>
      <c r="M35" s="5"/>
      <c r="N35" s="5"/>
      <c r="O35" s="5"/>
      <c r="P35" s="5"/>
      <c r="Q35" s="5"/>
      <c r="R35" s="5"/>
      <c r="S35" s="5"/>
      <c r="T35" s="5"/>
      <c r="U35" s="5"/>
      <c r="V35" s="5"/>
    </row>
    <row r="36" spans="1:22" x14ac:dyDescent="0.2">
      <c r="B36" s="5"/>
      <c r="C36" s="5"/>
      <c r="D36" s="5"/>
      <c r="E36" s="5"/>
      <c r="F36" s="5"/>
      <c r="G36" s="5"/>
      <c r="H36" s="5"/>
      <c r="I36" s="5"/>
      <c r="J36" s="5"/>
      <c r="K36" s="5"/>
      <c r="L36" s="5"/>
      <c r="M36" s="5"/>
      <c r="N36" s="5"/>
      <c r="O36" s="5"/>
      <c r="P36" s="5"/>
      <c r="Q36" s="5"/>
      <c r="R36" s="5"/>
      <c r="S36" s="5"/>
      <c r="T36" s="5"/>
      <c r="U36" s="5"/>
      <c r="V36" s="5"/>
    </row>
  </sheetData>
  <mergeCells count="1">
    <mergeCell ref="B34:V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Legende</vt:lpstr>
      <vt:lpstr>Input_Finanzen</vt:lpstr>
      <vt:lpstr>Input_Adjustments</vt:lpstr>
      <vt:lpstr>Input_Ratings</vt:lpstr>
      <vt:lpstr>Agentur_Bruecke</vt:lpstr>
      <vt:lpstr>Kennzahlen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Khezan Irani</cp:lastModifiedBy>
  <cp:revision>0</cp:revision>
  <dcterms:created xsi:type="dcterms:W3CDTF">2026-09-12T18:38:58Z</dcterms:created>
  <dcterms:modified xsi:type="dcterms:W3CDTF">2026-09-12T22:02:45Z</dcterms:modified>
  <dc:language>en-US</dc:language>
</cp:coreProperties>
</file>