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any inputs" sheetId="2" state="visible" r:id="rId4"/>
    <sheet name="EPA facilities" sheetId="3" state="visible" r:id="rId5"/>
    <sheet name="EEIO factors" sheetId="4" state="visible" r:id="rId6"/>
    <sheet name="Data gaps" sheetId="5" state="visible" r:id="rId7"/>
    <sheet name="Provena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From SEC company_tickers.json. WARNING: XOM resolved to a holding-company entity, not Exxon Mobil Corporation (CIK 0000034088). See Data gaps.</t>
        </r>
      </text>
    </comment>
    <comment ref="J2" authorId="0">
      <text>
        <r>
          <rPr>
            <sz val="10"/>
            <rFont val="Arial"/>
            <family val="2"/>
          </rPr>
          <t xml:space="preserve">Sum of co2e_t across every EPA facility whose reported parent matches this company, at 100% consolidation. A FLOOR: US facilities above the GHGRP threshold only.</t>
        </r>
      </text>
    </comment>
    <comment ref="R2" authorId="0">
      <text>
        <r>
          <rPr>
            <sz val="10"/>
            <rFont val="Arial"/>
            <family val="2"/>
          </rPr>
          <t xml:space="preserve">EPA Supply Chain GHG Emission Factors v1.3, kg CO2e per 2022 USD, purchaser price, all GHGs at AR5 100-yr GWP. 'With margins' includes transport and retail mark-up.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Parsed from the ownership percentage inside EPA's parent_company string. 1.0 where no percentage is given.</t>
        </r>
      </text>
    </comment>
  </commentList>
</comments>
</file>

<file path=xl/sharedStrings.xml><?xml version="1.0" encoding="utf-8"?>
<sst xmlns="http://schemas.openxmlformats.org/spreadsheetml/2006/main" count="3509" uniqueCount="1123">
  <si>
    <t xml:space="preserve">CONTESTED - raw fetched data</t>
  </si>
  <si>
    <t xml:space="preserve">ETHack 2026, Challenge #1. Every number below was pulled from free public government APIs on 12 September 2026.</t>
  </si>
  <si>
    <t xml:space="preserve">WHAT THIS FILE IS</t>
  </si>
  <si>
    <t xml:space="preserve">The raw inputs only, before any analysis. Nothing here is a score, a rank or a conclusion.</t>
  </si>
  <si>
    <t xml:space="preserve">Four numbers per company go into the calculation. This workbook shows all four, plus every facility they were built from.</t>
  </si>
  <si>
    <t xml:space="preserve">THE FOUR INPUTS</t>
  </si>
  <si>
    <t xml:space="preserve">1.  Revenue                 how much money the company made in FY2023. Audited, from its 10-K.</t>
  </si>
  <si>
    <t xml:space="preserve">2.  Reported emissions      tonnes CO2e the company itself reported to the US EPA, summed over its facilities.</t>
  </si>
  <si>
    <t xml:space="preserve">3.  Industry code (NAICS)   the official classification, e.g. 331110 = Iron and Steel Mills.</t>
  </si>
  <si>
    <t xml:space="preserve">4.  Industry factor (EEIO)  EPA's published kg CO2e per dollar for that industry, whole supply chain.</t>
  </si>
  <si>
    <t xml:space="preserve">SOURCES, ALL FREE, NO API KEY</t>
  </si>
  <si>
    <t xml:space="preserve">Revenue             SEC XBRL frames API        https://data.sec.gov/api/xbrl/frames/us-gaap/&lt;TAG&gt;/USD/CY2023.json</t>
  </si>
  <si>
    <t xml:space="preserve">Ticker to CIK       SEC                        https://www.sec.gov/files/company_tickers.json</t>
  </si>
  <si>
    <t xml:space="preserve">Facilities          EPA GHGRP                  https://data.epa.gov/dmapservice/ghg.pub_dim_facility/...</t>
  </si>
  <si>
    <t xml:space="preserve">Emissions           EPA GHGRP                  https://data.epa.gov/dmapservice/ghg.pub_facts_sector_ghg_emission/...</t>
  </si>
  <si>
    <t xml:space="preserve">Industry factors    EPA Supply Chain GHG EF v1.3   https://pasteur.epa.gov/uploads/10.23719/1531143/...</t>
  </si>
  <si>
    <t xml:space="preserve">COLOUR CONVENTION</t>
  </si>
  <si>
    <t xml:space="preserve">Blue text    a number fetched from an API. Raw, untouched.</t>
  </si>
  <si>
    <t xml:space="preserve">Black text   a formula computed inside this workbook, so you can audit the arithmetic yourself.</t>
  </si>
  <si>
    <t xml:space="preserve">HOW TO CHECK OUR WORK</t>
  </si>
  <si>
    <t xml:space="preserve">On 'Company inputs', column N sums the 'EPA facilities' sheet with SUMIF and should equal column L.</t>
  </si>
  <si>
    <t xml:space="preserve">Column O shows the difference. It should be zero for every company.</t>
  </si>
  <si>
    <t xml:space="preserve">READ THESE LIMITATIONS BEFORE QUOTING ANY NUMBER</t>
  </si>
  <si>
    <t xml:space="preserve">Reported emissions are a FLOOR, not a measurement. EPA GHGRP covers US facilities above a 25,000 tCO2e</t>
  </si>
  <si>
    <t xml:space="preserve">   threshold only. Non-US operations and smaller sites are absent by design.</t>
  </si>
  <si>
    <t xml:space="preserve">Industry factors are for SCREENING. The EPA factor is per dollar of commodity purchaser price; applying it</t>
  </si>
  <si>
    <t xml:space="preserve">   to company revenue is standard first-pass practice, not an accounting result.</t>
  </si>
  <si>
    <t xml:space="preserve">Factors are per 2022 USD, revenue is 2023 USD. Not deflated. Roughly a 3 percent effect.</t>
  </si>
  <si>
    <t xml:space="preserve">Every company in the same NAICS code gets the SAME factor, so the modelled layer cannot distinguish</t>
  </si>
  <si>
    <t xml:space="preserve">   efficiency within an industry. Only reported data does that.</t>
  </si>
  <si>
    <t xml:space="preserve">One fiscal year. No trend or trajectory claim is available from this file.</t>
  </si>
  <si>
    <t xml:space="preserve">KNOWN DATA PROBLEMS - see the 'Data gaps' sheet</t>
  </si>
  <si>
    <t xml:space="preserve">XOM resolved to the wrong SEC entity and has no revenue. Do not use Exxon intensity figures.</t>
  </si>
  <si>
    <t xml:space="preserve">12 of 30 companies reported no emissions at all. That absence is itself a finding, not a gap to paper over.</t>
  </si>
  <si>
    <t xml:space="preserve">IDENTIFIERS</t>
  </si>
  <si>
    <t xml:space="preserve">SEC  revenue</t>
  </si>
  <si>
    <t xml:space="preserve">EPA GHGRP  reported emissions</t>
  </si>
  <si>
    <t xml:space="preserve">EPA EEIO  industry factor</t>
  </si>
  <si>
    <t xml:space="preserve">AUDIT</t>
  </si>
  <si>
    <t xml:space="preserve">Ticker</t>
  </si>
  <si>
    <t xml:space="preserve">Company</t>
  </si>
  <si>
    <t xml:space="preserve">GICS sector</t>
  </si>
  <si>
    <t xml:space="preserve">SEC CIK</t>
  </si>
  <si>
    <t xml:space="preserve">SEC registrant name</t>
  </si>
  <si>
    <t xml:space="preserve">NAICS code</t>
  </si>
  <si>
    <t xml:space="preserve">Revenue FY2023 (USD)</t>
  </si>
  <si>
    <t xml:space="preserve">XBRL tag used</t>
  </si>
  <si>
    <t xml:space="preserve">Market cap (USD)</t>
  </si>
  <si>
    <t xml:space="preserve">Reported Scope 1, 100% consolidation (tCO2e)</t>
  </si>
  <si>
    <t xml:space="preserve">Reported Scope 1, equity share (tCO2e)</t>
  </si>
  <si>
    <t xml:space="preserve">Facilities found</t>
  </si>
  <si>
    <t xml:space="preserve">Facilities with an emissions value</t>
  </si>
  <si>
    <t xml:space="preserve">EPA parent search string</t>
  </si>
  <si>
    <t xml:space="preserve">Facilities with NO value</t>
  </si>
  <si>
    <t xml:space="preserve">EEIO NAICS matched</t>
  </si>
  <si>
    <t xml:space="preserve">EEIO industry title</t>
  </si>
  <si>
    <t xml:space="preserve">Factor with margins (kg CO2e/2022 USD)</t>
  </si>
  <si>
    <t xml:space="preserve">Factor without margins</t>
  </si>
  <si>
    <t xml:space="preserve">SUMIF check from facilities sheet</t>
  </si>
  <si>
    <t xml:space="preserve">Difference vs column J</t>
  </si>
  <si>
    <t xml:space="preserve">Note</t>
  </si>
  <si>
    <t xml:space="preserve">units -&gt;</t>
  </si>
  <si>
    <t xml:space="preserve">USD</t>
  </si>
  <si>
    <t xml:space="preserve">tonnes CO2e</t>
  </si>
  <si>
    <t xml:space="preserve">kg CO2e per USD</t>
  </si>
  <si>
    <t xml:space="preserve">XOM</t>
  </si>
  <si>
    <t xml:space="preserve">Exxon Mobil</t>
  </si>
  <si>
    <t xml:space="preserve">Energy</t>
  </si>
  <si>
    <t xml:space="preserve">0002115436</t>
  </si>
  <si>
    <t xml:space="preserve">ExxonMobil Holdings Corp</t>
  </si>
  <si>
    <t xml:space="preserve">324110</t>
  </si>
  <si>
    <t xml:space="preserve">EXXON</t>
  </si>
  <si>
    <t xml:space="preserve">Petroleum Refineries</t>
  </si>
  <si>
    <t xml:space="preserve">huge disclosed Scope 1; expect robustly dirty</t>
  </si>
  <si>
    <t xml:space="preserve">CVX</t>
  </si>
  <si>
    <t xml:space="preserve">Chevron</t>
  </si>
  <si>
    <t xml:space="preserve">0000093410</t>
  </si>
  <si>
    <t xml:space="preserve">CHEVRON CORP</t>
  </si>
  <si>
    <t xml:space="preserve">RevenueFromContractWithCustomerExcludingAssessedTax</t>
  </si>
  <si>
    <t xml:space="preserve">CHEVRON</t>
  </si>
  <si>
    <t xml:space="preserve">refining + upstream</t>
  </si>
  <si>
    <t xml:space="preserve">OKE</t>
  </si>
  <si>
    <t xml:space="preserve">ONEOK</t>
  </si>
  <si>
    <t xml:space="preserve">0001039684</t>
  </si>
  <si>
    <t xml:space="preserve">ONEOK INC /NEW/</t>
  </si>
  <si>
    <t xml:space="preserve">486210</t>
  </si>
  <si>
    <t xml:space="preserve">Pipeline Transportation of Natural Gas</t>
  </si>
  <si>
    <t xml:space="preserve">midstream pipelines</t>
  </si>
  <si>
    <t xml:space="preserve">NUE</t>
  </si>
  <si>
    <t xml:space="preserve">Nucor</t>
  </si>
  <si>
    <t xml:space="preserve">Materials</t>
  </si>
  <si>
    <t xml:space="preserve">0000073309</t>
  </si>
  <si>
    <t xml:space="preserve">NUCOR CORP</t>
  </si>
  <si>
    <t xml:space="preserve">331110</t>
  </si>
  <si>
    <t xml:space="preserve">NUCOR</t>
  </si>
  <si>
    <t xml:space="preserve">Iron and Steel Mills and Ferroalloy Manufacturing</t>
  </si>
  <si>
    <t xml:space="preserve">VERIFIED 26 facilities 5762209 t 2023</t>
  </si>
  <si>
    <t xml:space="preserve">DOW</t>
  </si>
  <si>
    <t xml:space="preserve">Dow</t>
  </si>
  <si>
    <t xml:space="preserve">0001751788</t>
  </si>
  <si>
    <t xml:space="preserve">DOW INC.</t>
  </si>
  <si>
    <t xml:space="preserve">325110</t>
  </si>
  <si>
    <t xml:space="preserve">Revenues</t>
  </si>
  <si>
    <t xml:space="preserve">DOW CHEMICAL</t>
  </si>
  <si>
    <t xml:space="preserve">Petrochemical Manufacturing</t>
  </si>
  <si>
    <t xml:space="preserve">petrochemicals</t>
  </si>
  <si>
    <t xml:space="preserve">SHW</t>
  </si>
  <si>
    <t xml:space="preserve">Sherwin-Williams</t>
  </si>
  <si>
    <t xml:space="preserve">0000089800</t>
  </si>
  <si>
    <t xml:space="preserve">SHERWIN WILLIAMS CO</t>
  </si>
  <si>
    <t xml:space="preserve">325510</t>
  </si>
  <si>
    <t xml:space="preserve">SHERWIN</t>
  </si>
  <si>
    <t xml:space="preserve">Paint and Coating Manufacturing</t>
  </si>
  <si>
    <t xml:space="preserve">coatings; lighter industry</t>
  </si>
  <si>
    <t xml:space="preserve">UNP</t>
  </si>
  <si>
    <t xml:space="preserve">Union Pacific</t>
  </si>
  <si>
    <t xml:space="preserve">Industrials</t>
  </si>
  <si>
    <t xml:space="preserve">0000100885</t>
  </si>
  <si>
    <t xml:space="preserve">UNION PACIFIC CORP</t>
  </si>
  <si>
    <t xml:space="preserve">482111</t>
  </si>
  <si>
    <t xml:space="preserve">UNION PACIFIC</t>
  </si>
  <si>
    <t xml:space="preserve">Line-Haul Railroads</t>
  </si>
  <si>
    <t xml:space="preserve">diesel fleet; Scope 1 heavy</t>
  </si>
  <si>
    <t xml:space="preserve">CAT</t>
  </si>
  <si>
    <t xml:space="preserve">Caterpillar</t>
  </si>
  <si>
    <t xml:space="preserve">0000018230</t>
  </si>
  <si>
    <t xml:space="preserve">CATERPILLAR INC</t>
  </si>
  <si>
    <t xml:space="preserve">333120</t>
  </si>
  <si>
    <t xml:space="preserve">CATERPILLAR</t>
  </si>
  <si>
    <t xml:space="preserve">Construction Machinery Manufacturing</t>
  </si>
  <si>
    <t xml:space="preserve">use-phase Scope 3 dominant</t>
  </si>
  <si>
    <t xml:space="preserve">DE</t>
  </si>
  <si>
    <t xml:space="preserve">Deere</t>
  </si>
  <si>
    <t xml:space="preserve">0000315189</t>
  </si>
  <si>
    <t xml:space="preserve">DEERE &amp; CO</t>
  </si>
  <si>
    <t xml:space="preserve">333111</t>
  </si>
  <si>
    <t xml:space="preserve">DEERE</t>
  </si>
  <si>
    <t xml:space="preserve">Farm Machinery and Equipment Manufacturing</t>
  </si>
  <si>
    <t xml:space="preserve">F</t>
  </si>
  <si>
    <t xml:space="preserve">Ford Motor</t>
  </si>
  <si>
    <t xml:space="preserve">Consumer Discretionary</t>
  </si>
  <si>
    <t xml:space="preserve">0000037996</t>
  </si>
  <si>
    <t xml:space="preserve">FORD MOTOR CO</t>
  </si>
  <si>
    <t xml:space="preserve">336111</t>
  </si>
  <si>
    <t xml:space="preserve">FORD MOTOR</t>
  </si>
  <si>
    <t xml:space="preserve">Automobile Manufacturing</t>
  </si>
  <si>
    <t xml:space="preserve">VERIFIED 16 facilities 497625 t 2023</t>
  </si>
  <si>
    <t xml:space="preserve">GM</t>
  </si>
  <si>
    <t xml:space="preserve">General Motors</t>
  </si>
  <si>
    <t xml:space="preserve">0001467858</t>
  </si>
  <si>
    <t xml:space="preserve">General Motors Co</t>
  </si>
  <si>
    <t xml:space="preserve">GENERAL MOTORS</t>
  </si>
  <si>
    <t xml:space="preserve">peer to Ford</t>
  </si>
  <si>
    <t xml:space="preserve">AMZN</t>
  </si>
  <si>
    <t xml:space="preserve">Amazon</t>
  </si>
  <si>
    <t xml:space="preserve">0001018724</t>
  </si>
  <si>
    <t xml:space="preserve">AMAZON COM INC</t>
  </si>
  <si>
    <t xml:space="preserve">454110</t>
  </si>
  <si>
    <t xml:space="preserve">AMAZON</t>
  </si>
  <si>
    <t xml:space="preserve">Electronic Shopping and Mail-Order Houses</t>
  </si>
  <si>
    <t xml:space="preserve">logistics + data centres</t>
  </si>
  <si>
    <t xml:space="preserve">WMT</t>
  </si>
  <si>
    <t xml:space="preserve">Walmart</t>
  </si>
  <si>
    <t xml:space="preserve">Consumer Staples</t>
  </si>
  <si>
    <t xml:space="preserve">0000104169</t>
  </si>
  <si>
    <t xml:space="preserve">Walmart Inc.</t>
  </si>
  <si>
    <t xml:space="preserve">452311</t>
  </si>
  <si>
    <t xml:space="preserve">WAL-MART</t>
  </si>
  <si>
    <t xml:space="preserve">Warehouse Clubs and Supercenters</t>
  </si>
  <si>
    <t xml:space="preserve">VERIFIED no emissions figure; supplier subparts only</t>
  </si>
  <si>
    <t xml:space="preserve">PG</t>
  </si>
  <si>
    <t xml:space="preserve">Procter &amp; Gamble</t>
  </si>
  <si>
    <t xml:space="preserve">0000080424</t>
  </si>
  <si>
    <t xml:space="preserve">PROCTER &amp; GAMBLE Co</t>
  </si>
  <si>
    <t xml:space="preserve">325610</t>
  </si>
  <si>
    <t xml:space="preserve">PROCTER</t>
  </si>
  <si>
    <t xml:space="preserve">consumer goods supply chain</t>
  </si>
  <si>
    <t xml:space="preserve">KO</t>
  </si>
  <si>
    <t xml:space="preserve">Coca-Cola</t>
  </si>
  <si>
    <t xml:space="preserve">0000021344</t>
  </si>
  <si>
    <t xml:space="preserve">COCA COLA CO</t>
  </si>
  <si>
    <t xml:space="preserve">312111</t>
  </si>
  <si>
    <t xml:space="preserve">COCA COLA</t>
  </si>
  <si>
    <t xml:space="preserve">Soft Drink Manufacturing</t>
  </si>
  <si>
    <t xml:space="preserve">bottling is franchised; boundary games</t>
  </si>
  <si>
    <t xml:space="preserve">LLY</t>
  </si>
  <si>
    <t xml:space="preserve">Eli Lilly</t>
  </si>
  <si>
    <t xml:space="preserve">Health Care</t>
  </si>
  <si>
    <t xml:space="preserve">0000059478</t>
  </si>
  <si>
    <t xml:space="preserve">ELI LILLY &amp; Co</t>
  </si>
  <si>
    <t xml:space="preserve">325412</t>
  </si>
  <si>
    <t xml:space="preserve">LILLY</t>
  </si>
  <si>
    <t xml:space="preserve">Pharmaceutical Preparation Manufacturing</t>
  </si>
  <si>
    <t xml:space="preserve">pharma manufacturing</t>
  </si>
  <si>
    <t xml:space="preserve">UNH</t>
  </si>
  <si>
    <t xml:space="preserve">UnitedHealth</t>
  </si>
  <si>
    <t xml:space="preserve">0000731766</t>
  </si>
  <si>
    <t xml:space="preserve">UNITEDHEALTH GROUP INC</t>
  </si>
  <si>
    <t xml:space="preserve">524114</t>
  </si>
  <si>
    <t xml:space="preserve">UNITEDHEALTH</t>
  </si>
  <si>
    <t xml:space="preserve">Direct Health and Medical Insurance Carriers</t>
  </si>
  <si>
    <t xml:space="preserve">insurer; almost no Scope 1</t>
  </si>
  <si>
    <t xml:space="preserve">JNJ</t>
  </si>
  <si>
    <t xml:space="preserve">Johnson &amp; Johnson</t>
  </si>
  <si>
    <t xml:space="preserve">0000200406</t>
  </si>
  <si>
    <t xml:space="preserve">JOHNSON &amp; JOHNSON</t>
  </si>
  <si>
    <t xml:space="preserve">JOHNSON</t>
  </si>
  <si>
    <t xml:space="preserve">pharma + devices</t>
  </si>
  <si>
    <t xml:space="preserve">JPM</t>
  </si>
  <si>
    <t xml:space="preserve">JPMorgan Chase</t>
  </si>
  <si>
    <t xml:space="preserve">Financials</t>
  </si>
  <si>
    <t xml:space="preserve">0000019617</t>
  </si>
  <si>
    <t xml:space="preserve">JPMORGAN CHASE &amp; CO</t>
  </si>
  <si>
    <t xml:space="preserve">522110</t>
  </si>
  <si>
    <t xml:space="preserve">JP MORGAN</t>
  </si>
  <si>
    <t xml:space="preserve">Commercial Banking</t>
  </si>
  <si>
    <t xml:space="preserve">VERIFIED zero GHGRP rows 2023</t>
  </si>
  <si>
    <t xml:space="preserve">BAC</t>
  </si>
  <si>
    <t xml:space="preserve">Bank of America</t>
  </si>
  <si>
    <t xml:space="preserve">0000070858</t>
  </si>
  <si>
    <t xml:space="preserve">BANK OF AMERICA CORP /DE/</t>
  </si>
  <si>
    <t xml:space="preserve">BANK OF AMERICA</t>
  </si>
  <si>
    <t xml:space="preserve">peer to JPM</t>
  </si>
  <si>
    <t xml:space="preserve">GS</t>
  </si>
  <si>
    <t xml:space="preserve">Goldman Sachs</t>
  </si>
  <si>
    <t xml:space="preserve">0000886982</t>
  </si>
  <si>
    <t xml:space="preserve">GOLDMAN SACHS GROUP INC</t>
  </si>
  <si>
    <t xml:space="preserve">523110</t>
  </si>
  <si>
    <t xml:space="preserve">RevenuesNetOfInterestExpense</t>
  </si>
  <si>
    <t xml:space="preserve">GOLDMAN</t>
  </si>
  <si>
    <t xml:space="preserve">Investment Banking and Securities Dealing</t>
  </si>
  <si>
    <t xml:space="preserve">investment bank</t>
  </si>
  <si>
    <t xml:space="preserve">AAPL</t>
  </si>
  <si>
    <t xml:space="preserve">Apple</t>
  </si>
  <si>
    <t xml:space="preserve">Information Technology</t>
  </si>
  <si>
    <t xml:space="preserve">0000320193</t>
  </si>
  <si>
    <t xml:space="preserve">Apple Inc.</t>
  </si>
  <si>
    <t xml:space="preserve">334220</t>
  </si>
  <si>
    <t xml:space="preserve">APPLE</t>
  </si>
  <si>
    <t xml:space="preserve">Radio and Television Broadcasting and Wireless Communications Equipment Manufacturing</t>
  </si>
  <si>
    <t xml:space="preserve">supply chain is the footprint</t>
  </si>
  <si>
    <t xml:space="preserve">MSFT</t>
  </si>
  <si>
    <t xml:space="preserve">Microsoft</t>
  </si>
  <si>
    <t xml:space="preserve">0000789019</t>
  </si>
  <si>
    <t xml:space="preserve">MICROSOFT CORP</t>
  </si>
  <si>
    <t xml:space="preserve">513210</t>
  </si>
  <si>
    <t xml:space="preserve">MICROSOFT</t>
  </si>
  <si>
    <t xml:space="preserve">data centres</t>
  </si>
  <si>
    <t xml:space="preserve">NVDA</t>
  </si>
  <si>
    <t xml:space="preserve">NVIDIA</t>
  </si>
  <si>
    <t xml:space="preserve">0001045810</t>
  </si>
  <si>
    <t xml:space="preserve">NVIDIA CORP</t>
  </si>
  <si>
    <t xml:space="preserve">334413</t>
  </si>
  <si>
    <t xml:space="preserve">Semiconductor and Related Device Manufacturing</t>
  </si>
  <si>
    <t xml:space="preserve">fabless; almost nothing owned</t>
  </si>
  <si>
    <t xml:space="preserve">META</t>
  </si>
  <si>
    <t xml:space="preserve">Meta Platforms</t>
  </si>
  <si>
    <t xml:space="preserve">Communication Services</t>
  </si>
  <si>
    <t xml:space="preserve">0001326801</t>
  </si>
  <si>
    <t xml:space="preserve">Meta Platforms, Inc.</t>
  </si>
  <si>
    <t xml:space="preserve">516210</t>
  </si>
  <si>
    <t xml:space="preserve">FACEBOOK</t>
  </si>
  <si>
    <t xml:space="preserve">data centres; name changed 2021</t>
  </si>
  <si>
    <t xml:space="preserve">GOOGL</t>
  </si>
  <si>
    <t xml:space="preserve">Alphabet</t>
  </si>
  <si>
    <t xml:space="preserve">0001652044</t>
  </si>
  <si>
    <t xml:space="preserve">Alphabet Inc.</t>
  </si>
  <si>
    <t xml:space="preserve">ALPHABET</t>
  </si>
  <si>
    <t xml:space="preserve">DIS</t>
  </si>
  <si>
    <t xml:space="preserve">Walt Disney</t>
  </si>
  <si>
    <t xml:space="preserve">0001744489</t>
  </si>
  <si>
    <t xml:space="preserve">Walt Disney Co</t>
  </si>
  <si>
    <t xml:space="preserve">512110</t>
  </si>
  <si>
    <t xml:space="preserve">DISNEY</t>
  </si>
  <si>
    <t xml:space="preserve">Motion Picture and Video Production</t>
  </si>
  <si>
    <t xml:space="preserve">parks + media</t>
  </si>
  <si>
    <t xml:space="preserve">DUK</t>
  </si>
  <si>
    <t xml:space="preserve">Duke Energy</t>
  </si>
  <si>
    <t xml:space="preserve">Utilities</t>
  </si>
  <si>
    <t xml:space="preserve">0001326160</t>
  </si>
  <si>
    <t xml:space="preserve">Duke Energy CORP</t>
  </si>
  <si>
    <t xml:space="preserve">221112</t>
  </si>
  <si>
    <t xml:space="preserve">RevenueFromContractWithCustomerIncludingAssessedTax</t>
  </si>
  <si>
    <t xml:space="preserve">DUKE ENERGY</t>
  </si>
  <si>
    <t xml:space="preserve">expect very large disclosed Scope 1</t>
  </si>
  <si>
    <t xml:space="preserve">NEE</t>
  </si>
  <si>
    <t xml:space="preserve">NextEra Energy</t>
  </si>
  <si>
    <t xml:space="preserve">0000753308</t>
  </si>
  <si>
    <t xml:space="preserve">NEXTERA ENERGY INC</t>
  </si>
  <si>
    <t xml:space="preserve">NEXTERA</t>
  </si>
  <si>
    <t xml:space="preserve">subsidiary files as Florida Power and Light</t>
  </si>
  <si>
    <t xml:space="preserve">SO</t>
  </si>
  <si>
    <t xml:space="preserve">Southern Company</t>
  </si>
  <si>
    <t xml:space="preserve">0000092122</t>
  </si>
  <si>
    <t xml:space="preserve">SOUTHERN CO</t>
  </si>
  <si>
    <t xml:space="preserve">SOUTHERN</t>
  </si>
  <si>
    <t xml:space="preserve">subsidiaries file separately</t>
  </si>
  <si>
    <t xml:space="preserve">TOTALS</t>
  </si>
  <si>
    <t xml:space="preserve">Blue = fetched from an API, raw. Black = formula, audit it yourself. Orange rows have no revenue and cannot produce an intensity.</t>
  </si>
  <si>
    <t xml:space="preserve">EPA facility ID</t>
  </si>
  <si>
    <t xml:space="preserve">Facility name</t>
  </si>
  <si>
    <t xml:space="preserve">State</t>
  </si>
  <si>
    <t xml:space="preserve">Facility NAICS</t>
  </si>
  <si>
    <t xml:space="preserve">Company ownership share</t>
  </si>
  <si>
    <t xml:space="preserve">Reported emissions (tCO2e)</t>
  </si>
  <si>
    <t xml:space="preserve">EPA parent company string, verbatim</t>
  </si>
  <si>
    <t xml:space="preserve">BPXA GATHERING CENTER #2</t>
  </si>
  <si>
    <t xml:space="preserve">AK</t>
  </si>
  <si>
    <t xml:space="preserve">211111</t>
  </si>
  <si>
    <t xml:space="preserve">EXXON MOBIL CORP (36.4%); CONOCOPHILLIPS (36.1%); BP AMERICA INC (26.4%); CHEVRON CORP (1.2%)</t>
  </si>
  <si>
    <t xml:space="preserve">PHP Junction Compressor Station</t>
  </si>
  <si>
    <t xml:space="preserve">TX</t>
  </si>
  <si>
    <t xml:space="preserve">APA CORP (26.67%); EAGLECLAW MIDSTREAM SERVICES LLC (26.67%); KINDER MORGAN INC (26.67%); EXXON MOBIL CORP (19.99%)</t>
  </si>
  <si>
    <t xml:space="preserve">BPXA FLOW STATION #1</t>
  </si>
  <si>
    <t xml:space="preserve">XTO - Midpt Station</t>
  </si>
  <si>
    <t xml:space="preserve">EXXONMOBIL CORP (100%)</t>
  </si>
  <si>
    <t xml:space="preserve">BPXA GATHERING CENTER #3</t>
  </si>
  <si>
    <t xml:space="preserve">XTO - Chandler Station</t>
  </si>
  <si>
    <t xml:space="preserve">Trawick Central Station</t>
  </si>
  <si>
    <t xml:space="preserve">PHP 285 Compressor Station</t>
  </si>
  <si>
    <t xml:space="preserve">APA CORP (26.67%); EAGLECLAW MIDSTREAM SERVICES LLC (26.67%); KINDER MORGAN INC (26.67%); EXXON MOBIL CORP (20%)</t>
  </si>
  <si>
    <t xml:space="preserve">EXXONMOBIL CHEMICAL CO - BATON ROUGE PLASTICS PLANT</t>
  </si>
  <si>
    <t xml:space="preserve">LA</t>
  </si>
  <si>
    <t xml:space="preserve">325211</t>
  </si>
  <si>
    <t xml:space="preserve">EXXON MOBIL CORP (100%)</t>
  </si>
  <si>
    <t xml:space="preserve">EXXONMOBIL BATON ROUGE REFINERY AND CHEMICAL PLANT</t>
  </si>
  <si>
    <t xml:space="preserve">EXXONMOBIL CHEMICAL MONT BELVIEU PLASTICS PLANT</t>
  </si>
  <si>
    <t xml:space="preserve">DENVER UNIT CO 2 RECOVERY PLANT</t>
  </si>
  <si>
    <t xml:space="preserve">211120</t>
  </si>
  <si>
    <t xml:space="preserve">OCCIDENTAL PETROLEUM CORP (53%); CHEVRON CORP (17%); CONOCOPHILLIPS (14%); EXXON MOBIL CORP (12%); ARIEL EXPLORATION INC (1%); COTERRA ENERGY INC (1%); DEVON ENERGY CORP (1%); PENROC OIL CORP (1%)</t>
  </si>
  <si>
    <t xml:space="preserve">Hawkins Gas Plant</t>
  </si>
  <si>
    <t xml:space="preserve">211130</t>
  </si>
  <si>
    <t xml:space="preserve">XTO Energy Inc 595 Piceance  GB</t>
  </si>
  <si>
    <t xml:space="preserve">NM</t>
  </si>
  <si>
    <t xml:space="preserve">XTO Energy Inc 350 South Oklahoma Folded Belt  GB</t>
  </si>
  <si>
    <t xml:space="preserve">OK</t>
  </si>
  <si>
    <t xml:space="preserve">EAST VACUUM LIQUID RECOVERY PLANT/CO2 PLANT</t>
  </si>
  <si>
    <t xml:space="preserve">MARATHON OIL CORP (5%); CONOCOPHILLIPS (46%); EXXON MOBIL CORP (38%); APA CORP (11%)</t>
  </si>
  <si>
    <t xml:space="preserve">PHP Big Lake Compressor Station</t>
  </si>
  <si>
    <t xml:space="preserve">XTO Energy Inc 507 Central Western Overthrust  GB</t>
  </si>
  <si>
    <t xml:space="preserve">XTO Energy Inc 420 Fort Worth Syncline</t>
  </si>
  <si>
    <t xml:space="preserve">Exxonmobil Beaumont Refinery</t>
  </si>
  <si>
    <t xml:space="preserve">XTO - Kindon Station</t>
  </si>
  <si>
    <t xml:space="preserve">Cross Timbers Energy, LLC - San Juan Basin 580</t>
  </si>
  <si>
    <t xml:space="preserve">EXXON MOBIL CORP (50%); MORNINGSTAR PARTNERS LP (50%)</t>
  </si>
  <si>
    <t xml:space="preserve">XTO Stonefly Compressor Station</t>
  </si>
  <si>
    <t xml:space="preserve">AR</t>
  </si>
  <si>
    <t xml:space="preserve">XTO - Jefferson Township Station</t>
  </si>
  <si>
    <t xml:space="preserve">PA</t>
  </si>
  <si>
    <t xml:space="preserve">XTO Energy Inc 220 Gulf Coast  GB</t>
  </si>
  <si>
    <t xml:space="preserve">XTO Energy Inc 395 Williston  GB</t>
  </si>
  <si>
    <t xml:space="preserve">ND</t>
  </si>
  <si>
    <t xml:space="preserve">Cowboy CDP</t>
  </si>
  <si>
    <t xml:space="preserve">XTO Energy Inc 580 San Juan  GB</t>
  </si>
  <si>
    <t xml:space="preserve">XTO - BOA GAS TREATING PLANT</t>
  </si>
  <si>
    <t xml:space="preserve">EXXONMOBIL CORP (100%);</t>
  </si>
  <si>
    <t xml:space="preserve">XTO - Azle Station</t>
  </si>
  <si>
    <t xml:space="preserve">XTO-Freestone Central Station</t>
  </si>
  <si>
    <t xml:space="preserve">EXXONMOBIL CHEMICAL CO - BATON ROUGE POLYOLEFINS PLANT</t>
  </si>
  <si>
    <t xml:space="preserve">XTO - Teague NE Station</t>
  </si>
  <si>
    <t xml:space="preserve">XTO - Longhorn Station</t>
  </si>
  <si>
    <t xml:space="preserve">Gulf Coast Growth Ventures LLC</t>
  </si>
  <si>
    <t xml:space="preserve">325199</t>
  </si>
  <si>
    <t xml:space="preserve">EXXON MOBIL CORP (50%); SABIC US HOLDINGS LP (50%)</t>
  </si>
  <si>
    <t xml:space="preserve">XTO - Mitchell Station</t>
  </si>
  <si>
    <t xml:space="preserve">XTO Energy Inc 507 Central Western Overthrust</t>
  </si>
  <si>
    <t xml:space="preserve">Mobile Bay - Northwest Gulf Platform</t>
  </si>
  <si>
    <t xml:space="preserve">AL</t>
  </si>
  <si>
    <t xml:space="preserve">XTO - Morton Station</t>
  </si>
  <si>
    <t xml:space="preserve">ConocoPhillips Alaska Inc - KRU CPF3</t>
  </si>
  <si>
    <t xml:space="preserve">CONOCOPHILLIPS (92.52%); CHEVRON CORP (4.95%); EXXON MOBIL CORP (2.53%)</t>
  </si>
  <si>
    <t xml:space="preserve">BPXA FLOW STATION #2</t>
  </si>
  <si>
    <t xml:space="preserve">BEAUMONT POLYETHYLENE PLANT</t>
  </si>
  <si>
    <t xml:space="preserve">XTO - Teague Townsite Station</t>
  </si>
  <si>
    <t xml:space="preserve">EXXONMOBIL OIL JOLIET REFINERY</t>
  </si>
  <si>
    <t xml:space="preserve">IL</t>
  </si>
  <si>
    <t xml:space="preserve">XTO - Walsh Ranch West</t>
  </si>
  <si>
    <t xml:space="preserve">XTO Energy Inc 580 San Juan</t>
  </si>
  <si>
    <t xml:space="preserve">EXXONMOBIL Bt Site</t>
  </si>
  <si>
    <t xml:space="preserve">XTO - Farrar Plant</t>
  </si>
  <si>
    <t xml:space="preserve">XTO Energy Inc 430 Permian</t>
  </si>
  <si>
    <t xml:space="preserve">XTO - Bailey Station</t>
  </si>
  <si>
    <t xml:space="preserve">XTO - Boyscout Boardwalk</t>
  </si>
  <si>
    <t xml:space="preserve">XTO Means Field CO2 Injection</t>
  </si>
  <si>
    <t xml:space="preserve">ConocoPhillips Alaska Inc - KRU CPF1</t>
  </si>
  <si>
    <t xml:space="preserve">Shute Creek Facility</t>
  </si>
  <si>
    <t xml:space="preserve">WY</t>
  </si>
  <si>
    <t xml:space="preserve">Hoover Diana Platform (AC25-HA)</t>
  </si>
  <si>
    <t xml:space="preserve">EXXON MOBIL CORP (66.67%); ANADARKO US OFFSHORE LLC (33.33%)</t>
  </si>
  <si>
    <t xml:space="preserve">XTO Energy Inc 160A Appalachian E Overthrust  GB</t>
  </si>
  <si>
    <t xml:space="preserve">XTO Energy Inc 160A Appalachian E Overthrust</t>
  </si>
  <si>
    <t xml:space="preserve">PHP Praha Compressor Station</t>
  </si>
  <si>
    <t xml:space="preserve">Tebone Fractionator</t>
  </si>
  <si>
    <t xml:space="preserve">ENTERPRISE PRODUCTS PARTNERS LP (64.19%); DCP MIDSTREAM LP (6.9%); W&amp;T OFFSHORE INC (5.17%); TARGA RESOURCES CORP (4.75%); EXXON MOBIL CORP (3.04%); LEED PETROLEUM LLC (2.56%); APACHE CORP (2.25%); GRIZZLY ENERGY LLC (1.67%); ARENA ENERGY LP (1.34%); ENI PETROLEUM CO INC (1.23%); UNION EXPLORATION PARTNERS LTD (1.12%)</t>
  </si>
  <si>
    <t xml:space="preserve">XTO-Tyrone Gas Plant</t>
  </si>
  <si>
    <t xml:space="preserve">ConocoPhillips Alaska Inc - KRU STP</t>
  </si>
  <si>
    <t xml:space="preserve">Terrell Gas Plant</t>
  </si>
  <si>
    <t xml:space="preserve">OCCIDENTAL PETROLEUM CORP (54%); EXXON MOBIL CORP (23%); ZPZ DELAWARE I LLC (23%)</t>
  </si>
  <si>
    <t xml:space="preserve">XTO - Cotton Valley Gas Plant</t>
  </si>
  <si>
    <t xml:space="preserve">Anadarko Basin - 360</t>
  </si>
  <si>
    <t xml:space="preserve">XTO - Oliver Station</t>
  </si>
  <si>
    <t xml:space="preserve">Aera Energy Ventura</t>
  </si>
  <si>
    <t xml:space="preserve">CA</t>
  </si>
  <si>
    <t xml:space="preserve">EXXONMOBIL CORP (48.2%);SHELL OIL CO (51.8%);</t>
  </si>
  <si>
    <t xml:space="preserve">XTO - Cook Compressor Station</t>
  </si>
  <si>
    <t xml:space="preserve">XTO - Berwyn Compressor Station</t>
  </si>
  <si>
    <t xml:space="preserve">OXY USA - SHEEP MTN CO2 FACILITY</t>
  </si>
  <si>
    <t xml:space="preserve">CO</t>
  </si>
  <si>
    <t xml:space="preserve">EXXON MOBIL CORP (50%); OCCIDENTAL PETROLEUM CORP (50%)</t>
  </si>
  <si>
    <t xml:space="preserve">ExxonMobil Chemical Company</t>
  </si>
  <si>
    <t xml:space="preserve">XTO Energy Inc 350 South Oklahoma Folded Belt</t>
  </si>
  <si>
    <t xml:space="preserve">Green River Basin - 535</t>
  </si>
  <si>
    <t xml:space="preserve">XTO Energy Inc 395 Williston</t>
  </si>
  <si>
    <t xml:space="preserve">Exxon Mobil Corporation</t>
  </si>
  <si>
    <t xml:space="preserve">XTO Cornell Mahoney Field CO2 Injection</t>
  </si>
  <si>
    <t xml:space="preserve">XTO - TRWD Station</t>
  </si>
  <si>
    <t xml:space="preserve">ConocoPhillips Alaska Inc - KRU CPF2</t>
  </si>
  <si>
    <t xml:space="preserve">XTO Cordona Lake Field CO2 Injection</t>
  </si>
  <si>
    <t xml:space="preserve">SEA ROBIN GAS PROCESSING PLANT</t>
  </si>
  <si>
    <t xml:space="preserve">EL PASO CORP (6.03%); APA CORP (4.2%); HESS CORP (24.41%); LOUIS DREYFUS CO NORTH AMERICA LLC (19.53%); DEVON ENERGY CORP (17.98%); ENTERPRISE PRODUCTS PARTNERS LP (15.54%); EXXON MOBIL CORP (10.52%)</t>
  </si>
  <si>
    <t xml:space="preserve">XTO-Piney Creek Compressor Station</t>
  </si>
  <si>
    <t xml:space="preserve">Point Thomson Production Facility</t>
  </si>
  <si>
    <t xml:space="preserve">EXXON MOBIL CORP (62.37%); HILCORP ALASKA LLC (36.99%)</t>
  </si>
  <si>
    <t xml:space="preserve">Toca Gas Processing Plant</t>
  </si>
  <si>
    <t xml:space="preserve">EXXON MOBIL CORP (8.52%); ENTERPRISE PRODUCTS PARTNERS LP (64.52%); APACHE CORP (12.31%); TARGA RESOURCES CORP (10.2875%); HILCORP ENERGY CO (1.39%); NOBLE ENERGY INC (1.275%); DCP MIDSTREAM LP (1.13%)</t>
  </si>
  <si>
    <t xml:space="preserve">XTO Energy Inc 260 East Texas</t>
  </si>
  <si>
    <t xml:space="preserve">XTO Energy Inc 360 Anadarko  GB</t>
  </si>
  <si>
    <t xml:space="preserve">Green Canyon 205 A</t>
  </si>
  <si>
    <t xml:space="preserve">CHEVRON CORP (59.6213%); EXXON MOBIL CORP (40.3787%)</t>
  </si>
  <si>
    <t xml:space="preserve">Bravo Dome</t>
  </si>
  <si>
    <t xml:space="preserve">OCCIDENTAL PETROLEUM CORP (77%); EXXON MOBIL CORP (2%); KINDER MORGAN INC (11%); HESS CORP (10%)</t>
  </si>
  <si>
    <t xml:space="preserve">XTO - Hattieville Compressor Station</t>
  </si>
  <si>
    <t xml:space="preserve">XTO Energy Inc 230 Arkla</t>
  </si>
  <si>
    <t xml:space="preserve">XTO Energy Inc 345 Arkoma</t>
  </si>
  <si>
    <t xml:space="preserve">XTO Energy Inc 430 Permian  GB</t>
  </si>
  <si>
    <t xml:space="preserve">Transmission Pipeline Facility, Permian Highway Pipeline, LLC</t>
  </si>
  <si>
    <t xml:space="preserve">XTO - Risinger Station</t>
  </si>
  <si>
    <t xml:space="preserve">Exxon Mobil Corporation-Baton Rouge Resin Finishing Plant</t>
  </si>
  <si>
    <t xml:space="preserve">Gulf Coast Basin - 220</t>
  </si>
  <si>
    <t xml:space="preserve">GA209 Platform</t>
  </si>
  <si>
    <t xml:space="preserve">XTO - Lillian Station</t>
  </si>
  <si>
    <t xml:space="preserve">XTO - HILL RANCH #1</t>
  </si>
  <si>
    <t xml:space="preserve">BPXA GATHERING CENTER #1</t>
  </si>
  <si>
    <t xml:space="preserve">XTO - New Teague Plant</t>
  </si>
  <si>
    <t xml:space="preserve">XTO - Blalock Station</t>
  </si>
  <si>
    <t xml:space="preserve">XTO Energy Inc 260 East Texas  GB</t>
  </si>
  <si>
    <t xml:space="preserve">XTO - Rendon Station</t>
  </si>
  <si>
    <t xml:space="preserve">Santa Ynez Unit (SYU)</t>
  </si>
  <si>
    <t xml:space="preserve">XTO Energy Inc 415 Strawn</t>
  </si>
  <si>
    <t xml:space="preserve">Port Allen Complex</t>
  </si>
  <si>
    <t xml:space="preserve">ENTERPRISE PRODUCTS PARTNERS LP (32.25%); THE WILLIAMS COS INC (31.45%); BP AMERICA INC (19.43%); EXXON MOBIL CORP (16.87%)</t>
  </si>
  <si>
    <t xml:space="preserve">XTO Energy Inc 575 Uintah  GB</t>
  </si>
  <si>
    <t xml:space="preserve">XTO Energy Inc 230 Arkla  GB</t>
  </si>
  <si>
    <t xml:space="preserve">North Terrebonne Gas Plant</t>
  </si>
  <si>
    <t xml:space="preserve">XTO Energy Inc 360 Anadarko</t>
  </si>
  <si>
    <t xml:space="preserve">XTO - PICEANCE CREEK</t>
  </si>
  <si>
    <t xml:space="preserve">Walker Ridge 718 (JSM)</t>
  </si>
  <si>
    <t xml:space="preserve">TOTAL HOLDINGS USA INC (5%); CHEVRON CORP (40.6%); EQUINOR US HOLDINGS INC (27.9%); MURPHY OIL CORP (15%); EXXON MOBIL CORP (10.75%)</t>
  </si>
  <si>
    <t xml:space="preserve">ExxonMobil 535 Green River GB (LaBArge Gathering &amp; Boosting)</t>
  </si>
  <si>
    <t xml:space="preserve">XTO - Castle Valley</t>
  </si>
  <si>
    <t xml:space="preserve">UT</t>
  </si>
  <si>
    <t xml:space="preserve">XTO - Pettijohn Compressor Station</t>
  </si>
  <si>
    <t xml:space="preserve">XTO - Teague SW &amp; SR Station</t>
  </si>
  <si>
    <t xml:space="preserve">Mobile Bay - 823 A</t>
  </si>
  <si>
    <t xml:space="preserve">EXXONMOBIL CORP (62.5%); CHEVRON CORP (25%); W&amp;T OFFSHORE INC (12.5%)</t>
  </si>
  <si>
    <t xml:space="preserve">CALUMET GAS PLANT</t>
  </si>
  <si>
    <t xml:space="preserve">TARGA RESOURCES INC (32.41%);Black Elk Energy Offshore Operations, LLC (2.031%);DCP MIDSTREAM, LP (0.531%);Fuels Acquisition Company (2.45%);W &amp; T Offshore, INC (0.974%);Exxon Mobil Production Company (14.828%);APACHE CORP (6.55%);Enterprise Gas Processing, LLC (35.4%);Hunt Oil Company (4.83%);</t>
  </si>
  <si>
    <t xml:space="preserve">PHP Lockhart Compressor Station, TX</t>
  </si>
  <si>
    <t xml:space="preserve">Wasson San Andres Field</t>
  </si>
  <si>
    <t xml:space="preserve">OCCIDENTAL PETROLEUM CORP (53.03%); CHEVRON CORP (15.7%); CONOCOPHILLIPS (15.7%); EXXON MOBIL CORP (15.57%)</t>
  </si>
  <si>
    <t xml:space="preserve">XTO GSAU Field CO2 Injection</t>
  </si>
  <si>
    <t xml:space="preserve">Mary Ann - 823</t>
  </si>
  <si>
    <t xml:space="preserve">XTO Energy Inc 595 Piceance</t>
  </si>
  <si>
    <t xml:space="preserve">BPXA FLOW STATION #3</t>
  </si>
  <si>
    <t xml:space="preserve">XTO - Fat Boy Station</t>
  </si>
  <si>
    <t xml:space="preserve">Thunder Horse, MMS Platform ID 02481, Complex ID 1101-1</t>
  </si>
  <si>
    <t xml:space="preserve">BP AMERICA INC (75%); EXXON MOBIL CORP (25%)</t>
  </si>
  <si>
    <t xml:space="preserve">North Hobbs Reinjection Compression Facility (RCF) and West Injection Battery (WIB)</t>
  </si>
  <si>
    <t xml:space="preserve">OCCIDENTAL PETROLEUM CORP (57.3%); MARATHON PETROLEUM CORP (4%); CHEVRON CORP (21%); LEGACY RESERVES INC (2%); EXXON MOBIL CORP (14%); LANDRETH CO STOCKHOLDERS (1%)</t>
  </si>
  <si>
    <t xml:space="preserve">XTO Energy Inc 220 Gulf Coast</t>
  </si>
  <si>
    <t xml:space="preserve">XTO-Johnson Ranch Station</t>
  </si>
  <si>
    <t xml:space="preserve">PHP Coyanosa Compressor Station</t>
  </si>
  <si>
    <t xml:space="preserve">XTO Energy Inc 345 Arkoma  GB</t>
  </si>
  <si>
    <t xml:space="preserve">PDC Energy 540 Denver Basin</t>
  </si>
  <si>
    <t xml:space="preserve">CHEVRON CORP (100%)</t>
  </si>
  <si>
    <t xml:space="preserve">Green Canyon 641</t>
  </si>
  <si>
    <t xml:space="preserve">CHEVRON CORP (58%); EQUINOR US HOLDINGS INC (25%); TOTAL HOLDINGS USA INC (17%)</t>
  </si>
  <si>
    <t xml:space="preserve">Mobile 823 A</t>
  </si>
  <si>
    <t xml:space="preserve">W&amp;T OFFSHORE INC (75%); CHEVRON CORP (25%)</t>
  </si>
  <si>
    <t xml:space="preserve">Chevron MCA 260 East Texas Basin</t>
  </si>
  <si>
    <t xml:space="preserve">Rosetta Resources 220 Gulf Coast Basin</t>
  </si>
  <si>
    <t xml:space="preserve">MC 194 A</t>
  </si>
  <si>
    <t xml:space="preserve">TALOS ENERGY INC (63.15%); APA CORP (21.78%); CHEVRON CORP (13.9%); W&amp;T OFFSHORE INC (1.17%)</t>
  </si>
  <si>
    <t xml:space="preserve">NORTH CROSS COMP STATION 4</t>
  </si>
  <si>
    <t xml:space="preserve">OCCIDENTAL PETROLEUM CORP (93.95%); CHEVRON CORP (6.05%)</t>
  </si>
  <si>
    <t xml:space="preserve">Chevron MM Salt Lake City</t>
  </si>
  <si>
    <t xml:space="preserve">Noble Midstream Services - Permian Basin 430</t>
  </si>
  <si>
    <t xml:space="preserve">Dollarhide CO2 Flood</t>
  </si>
  <si>
    <t xml:space="preserve">CHEVRON CORP (51.54%); PERMIAN BASIN LP (48.2%)</t>
  </si>
  <si>
    <t xml:space="preserve">CHEVRON PRODS.CO. RICHMOND REFY</t>
  </si>
  <si>
    <t xml:space="preserve">Chevron MCA 530 Wind River Basin</t>
  </si>
  <si>
    <t xml:space="preserve">Noble Energy, Inc. - Permian Basin 430</t>
  </si>
  <si>
    <t xml:space="preserve">Chevron MM Pascagoula</t>
  </si>
  <si>
    <t xml:space="preserve">MS</t>
  </si>
  <si>
    <t xml:space="preserve">Chevron Phillips Chemical Company LP Cedar Bayou Plant</t>
  </si>
  <si>
    <t xml:space="preserve">CHEVRON CORP (50%); PHILLIPS 66 (50%)</t>
  </si>
  <si>
    <t xml:space="preserve">Coalinga</t>
  </si>
  <si>
    <t xml:space="preserve">Bunge Chevron Ag Renewables LLC</t>
  </si>
  <si>
    <t xml:space="preserve">311224</t>
  </si>
  <si>
    <t xml:space="preserve">BUNGE CHEVRON AG RENEWABLES LLC (100%)</t>
  </si>
  <si>
    <t xml:space="preserve">CHEVRON PRODUCTS, EL SEGUNDO REFINERY</t>
  </si>
  <si>
    <t xml:space="preserve">Chevron MCA 350 South Oklahoma Folded Belt</t>
  </si>
  <si>
    <t xml:space="preserve">Chevron MCA 595 Piceance Basin</t>
  </si>
  <si>
    <t xml:space="preserve">CHEVRON PRODUCTS CO - SALT LAKE REFINERY</t>
  </si>
  <si>
    <t xml:space="preserve">Viosca Knoll 786 A</t>
  </si>
  <si>
    <t xml:space="preserve">CHEVRON CORP (50%); TALOS ENERGY INC (50%)</t>
  </si>
  <si>
    <t xml:space="preserve">Kern River Cogeneration Facility</t>
  </si>
  <si>
    <t xml:space="preserve">Coalinga Cogeneration Facility</t>
  </si>
  <si>
    <t xml:space="preserve">CHEVRON PHILLIPS CHEMICAL COMPANY, LP PORT ARTHUR PLANT</t>
  </si>
  <si>
    <t xml:space="preserve">Chevron MCA 595 Piceance Basin Gathering and Boosting</t>
  </si>
  <si>
    <t xml:space="preserve">San Joaquin Basin Gathering &amp; Boosting - Chevron USA Inc.</t>
  </si>
  <si>
    <t xml:space="preserve">SYCAMORE COGENERATION Facility</t>
  </si>
  <si>
    <t xml:space="preserve">CHEVRON PHILLIPS CHEMICAL CO LP</t>
  </si>
  <si>
    <t xml:space="preserve">Chevron MCA 430 Permian Basin</t>
  </si>
  <si>
    <t xml:space="preserve">Basin 540 Denver Julesburg - Noble Energy Inc.</t>
  </si>
  <si>
    <t xml:space="preserve">Chevron MCA 260 East Texas Basin Gathering and Boosting</t>
  </si>
  <si>
    <t xml:space="preserve">17Z Gas Plant - Chevron USA Inc.</t>
  </si>
  <si>
    <t xml:space="preserve">Kern River</t>
  </si>
  <si>
    <t xml:space="preserve">Chevron MCA 220 Gulf Coast Basin</t>
  </si>
  <si>
    <t xml:space="preserve">CHEVRON CORP (100%);</t>
  </si>
  <si>
    <t xml:space="preserve">Mabee CO2 Flood</t>
  </si>
  <si>
    <t xml:space="preserve">CHEVRON OIL CO @ PERTH AMBOY REFINERY</t>
  </si>
  <si>
    <t xml:space="preserve">NJ</t>
  </si>
  <si>
    <t xml:space="preserve">Chevron Corporation (100%);</t>
  </si>
  <si>
    <t xml:space="preserve">Midway Sunset</t>
  </si>
  <si>
    <t xml:space="preserve">Chevron MM Import/Export</t>
  </si>
  <si>
    <t xml:space="preserve">Chevron MCA 360 Anadarko Basin</t>
  </si>
  <si>
    <t xml:space="preserve">CHEVRON PHILLIPS - SWEENY COMPLEX</t>
  </si>
  <si>
    <t xml:space="preserve">Chevron MM Richmond</t>
  </si>
  <si>
    <t xml:space="preserve">Salinas River Cogeneration Facility</t>
  </si>
  <si>
    <t xml:space="preserve">INDIAN BASIN GAS PLANT</t>
  </si>
  <si>
    <t xml:space="preserve">ENTERPRISE PRODUCTS PARTNERS LP (42.2%); OCCIDENTAL PETROLEUM CORP (39.1%); CHEVRON CORP (2.1%); NGL VENTURES LLC (16.6%)</t>
  </si>
  <si>
    <t xml:space="preserve">Mad Dog. MMS Platform ID 02481, Complex ID 1215-1</t>
  </si>
  <si>
    <t xml:space="preserve">BP AMERICA INC (60.5%); BHP MINERALS INTERNATIONAL LLC (23.9%); CHEVRON CORP (15.6%)</t>
  </si>
  <si>
    <t xml:space="preserve">Bunge Chevron Ag Renewables LLC  Cairo Facility</t>
  </si>
  <si>
    <t xml:space="preserve">PASADENA REFINING SYSTEM</t>
  </si>
  <si>
    <t xml:space="preserve">CHEVRON USA INC (100%)</t>
  </si>
  <si>
    <t xml:space="preserve">Chevron MM El Segundo</t>
  </si>
  <si>
    <t xml:space="preserve">Basin 540 Denver Julesburg  G&amp;B</t>
  </si>
  <si>
    <t xml:space="preserve">Cymric</t>
  </si>
  <si>
    <t xml:space="preserve">South Pass 77 A</t>
  </si>
  <si>
    <t xml:space="preserve">Chevron Corporation (66.67%);Energy XXI GOM LLC (33.33%);</t>
  </si>
  <si>
    <t xml:space="preserve">Mid Set Cogeneration Facility</t>
  </si>
  <si>
    <t xml:space="preserve">REG Seneca, LLC</t>
  </si>
  <si>
    <t xml:space="preserve">Coastal Basin Gathering &amp; Boosting - Chevron USA Inc.</t>
  </si>
  <si>
    <t xml:space="preserve">Headlee Plant</t>
  </si>
  <si>
    <t xml:space="preserve">211112</t>
  </si>
  <si>
    <t xml:space="preserve">CHEVRON CORP (62.029736%); OCCIDENTAL PETROLEUM CORP (32.43532%); GEO R BROWN PTNR LP (1.24258%)</t>
  </si>
  <si>
    <t xml:space="preserve">OFS CS Lindsay Booster</t>
  </si>
  <si>
    <t xml:space="preserve">ONEOK PARTNERS LP (70%); CHEVRON CORP (30%)</t>
  </si>
  <si>
    <t xml:space="preserve">WASSON CO2 REMOVAL PLANT</t>
  </si>
  <si>
    <t xml:space="preserve">OCCIDENTAL PETROLEUM CORP (86.1%); DEVON ENERGY CORP (12%); CHEVRON CORP (1.9%)</t>
  </si>
  <si>
    <t xml:space="preserve">Chevron MCA 430 Permian Basin Gathering and Boosting</t>
  </si>
  <si>
    <t xml:space="preserve">Vacuum CO2 Flood</t>
  </si>
  <si>
    <t xml:space="preserve">VENDERA RESOURCES III LP (8.98%); CHEVRON CORP (62.96%); VENDERA MANAGEMENT II LLC (25.83%); APA CORP (2.09%)</t>
  </si>
  <si>
    <t xml:space="preserve">Rosetta Resources 220 Gulf Coast Basin Gathering and Boosting</t>
  </si>
  <si>
    <t xml:space="preserve">San Ardo</t>
  </si>
  <si>
    <t xml:space="preserve">Argos, MMS Platform ID 02481, Complex ID 2665-1</t>
  </si>
  <si>
    <t xml:space="preserve">PEGASUS GAS PLANT</t>
  </si>
  <si>
    <t xml:space="preserve">PHILLIPS 66 (85.4521%); ENBRIDGE (US) INC (12.995%); Chevron Corp (1.2112%)</t>
  </si>
  <si>
    <t xml:space="preserve">Chevron MCA 507 Central Western Overthrust</t>
  </si>
  <si>
    <t xml:space="preserve">PDC Permian, Inc. 430 Permian Basin</t>
  </si>
  <si>
    <t xml:space="preserve">Beluga River Unit</t>
  </si>
  <si>
    <t xml:space="preserve">CHEVRON CORP (33.3%); CONOCOPHILLIPS (33.3%); MUNICIPAL LIGHT &amp; POWER (33.3%)</t>
  </si>
  <si>
    <t xml:space="preserve">Sargent Canyon Cogeneration Facility</t>
  </si>
  <si>
    <t xml:space="preserve">Chevron Pascagoula Refinery</t>
  </si>
  <si>
    <t xml:space="preserve">Mississippi Canyon 650 A</t>
  </si>
  <si>
    <t xml:space="preserve">CHEVRON CORP (75%); OCCIDENTAL PETROLEUM CORP (25%)</t>
  </si>
  <si>
    <t xml:space="preserve">Rangely Gas Plant</t>
  </si>
  <si>
    <t xml:space="preserve">CHEVRON CORP (68.069512%); WHITING OIL &amp; GAS CORP (4.613916%); MMGJ COLORADO LLC (25.24566%)</t>
  </si>
  <si>
    <t xml:space="preserve">Basin 540 Denver Julesburg  NBL Midstream Holdings LLC</t>
  </si>
  <si>
    <t xml:space="preserve">Chevron Oronite Oak Point</t>
  </si>
  <si>
    <t xml:space="preserve">Rangely CO2 Flood</t>
  </si>
  <si>
    <t xml:space="preserve">CHEVRON CORP (68.07%); WHITING OIL GAS CORP (4.61%); MMGJ COLORADO LLC (25.25%)</t>
  </si>
  <si>
    <t xml:space="preserve">AMERICAS STYRENICS LLC - ST JAMES PLANT</t>
  </si>
  <si>
    <t xml:space="preserve">CHEVRON CORP (50%); TRINSEO PLC (50%)</t>
  </si>
  <si>
    <t xml:space="preserve">Walker Ridge 29 (Big Foot)</t>
  </si>
  <si>
    <t xml:space="preserve">CHEVRON CORP (60%); EQUINOR US HOLDINGS INC (27.5%); MARUBENI AMERICA CORP (12.5%)</t>
  </si>
  <si>
    <t xml:space="preserve">Chevron MCA 535 Green River Basin</t>
  </si>
  <si>
    <t xml:space="preserve">Northern Border Pipeline Manning CS#5</t>
  </si>
  <si>
    <t xml:space="preserve">ONEOK INC (50%); TRANSCANADA PIPELINE USA LTD (50%)</t>
  </si>
  <si>
    <t xml:space="preserve">OGT CS Salt Creek</t>
  </si>
  <si>
    <t xml:space="preserve">ONEOK INC (100%)</t>
  </si>
  <si>
    <t xml:space="preserve">Northern Border Pipeline Wetonka CS#9</t>
  </si>
  <si>
    <t xml:space="preserve">OWT CS Ector County Compressor Station</t>
  </si>
  <si>
    <t xml:space="preserve">MCFS-CONWAY FRACTIONATOR</t>
  </si>
  <si>
    <t xml:space="preserve">KS</t>
  </si>
  <si>
    <t xml:space="preserve">THE WILLIAMS COS INC (50%); PHILLIPS 66 (40%); ONEOK PARTNERS LP (10%)</t>
  </si>
  <si>
    <t xml:space="preserve">BPE CS Prairie Dog Booster (Ten Acre)</t>
  </si>
  <si>
    <t xml:space="preserve">ONEOK PARTNERS LP (100%)</t>
  </si>
  <si>
    <t xml:space="preserve">OHL NGLP Hutchinson Plant</t>
  </si>
  <si>
    <t xml:space="preserve">OFS GPRP Maysville</t>
  </si>
  <si>
    <t xml:space="preserve">GPLC JOLIET SALES</t>
  </si>
  <si>
    <t xml:space="preserve">Northern Border Pipeline Clark CS#10</t>
  </si>
  <si>
    <t xml:space="preserve">WTX - CS Red River CS No. 1 (Wheeler)</t>
  </si>
  <si>
    <t xml:space="preserve">OHL NGLP Mont Belvieu NGL Fractionation and Storage Complex</t>
  </si>
  <si>
    <t xml:space="preserve">OFS GPRP Antelope Hills Gas Plant</t>
  </si>
  <si>
    <t xml:space="preserve">ORM GPRP Lonesome Creek Gas Plant</t>
  </si>
  <si>
    <t xml:space="preserve">OFS CS Cedar Lake</t>
  </si>
  <si>
    <t xml:space="preserve">Northern Border Pipeline Trimont CS#13</t>
  </si>
  <si>
    <t xml:space="preserve">MN</t>
  </si>
  <si>
    <t xml:space="preserve">OHL NGLP Medford Plant</t>
  </si>
  <si>
    <t xml:space="preserve">ONEOK Rockies Midstream, L.L.C. 515 Powder River Basin GB</t>
  </si>
  <si>
    <t xml:space="preserve">OGS SF Depew</t>
  </si>
  <si>
    <t xml:space="preserve">ONEOK Rockies Midstream, L.L.C. 395 Williston Basin GB</t>
  </si>
  <si>
    <t xml:space="preserve">OFS GPRP Panther Creek Gas Plant</t>
  </si>
  <si>
    <t xml:space="preserve">Northern Border Pipeline Saint Anthony CS#7</t>
  </si>
  <si>
    <t xml:space="preserve">ONEOK Field Services Company, L.L.C. 350 South Oklahoma Folded Belt GB</t>
  </si>
  <si>
    <t xml:space="preserve">OFS CS ICE</t>
  </si>
  <si>
    <t xml:space="preserve">OFS CS Ward</t>
  </si>
  <si>
    <t xml:space="preserve">VGT CS 2204</t>
  </si>
  <si>
    <t xml:space="preserve">OHL NGLP Isomerization Plant</t>
  </si>
  <si>
    <t xml:space="preserve">OFS GPRP Woodward Gas Plant</t>
  </si>
  <si>
    <t xml:space="preserve">OFS CS Geary (Base Sales)</t>
  </si>
  <si>
    <t xml:space="preserve">Corpus Christi Terminal Condensate Splitter</t>
  </si>
  <si>
    <t xml:space="preserve">Roadrunner Gas Transmission, LLC</t>
  </si>
  <si>
    <t xml:space="preserve">Northern Border Pipeline Glen Ullin CS#6</t>
  </si>
  <si>
    <t xml:space="preserve">BPE GPRP Garden Creek</t>
  </si>
  <si>
    <t xml:space="preserve">OFS GPRP Custer Gas Plant</t>
  </si>
  <si>
    <t xml:space="preserve">OFS GPRP Leedey Gas Plant</t>
  </si>
  <si>
    <t xml:space="preserve">Northern Border Pipeline Estelline CS#11</t>
  </si>
  <si>
    <t xml:space="preserve">VGT CS 2207</t>
  </si>
  <si>
    <t xml:space="preserve">ONEOK Field Services Company, L.L.C. 360 Anadarko Basin GB</t>
  </si>
  <si>
    <t xml:space="preserve">BPE GPRP Baker Gas Plant</t>
  </si>
  <si>
    <t xml:space="preserve">MT</t>
  </si>
  <si>
    <t xml:space="preserve">ONEOK Partners, L.P. (100%);</t>
  </si>
  <si>
    <t xml:space="preserve">Northern Border Pipeline Zeeland CS#8</t>
  </si>
  <si>
    <t xml:space="preserve">WTX - CS Red River CS No. 2 (Lamesa)</t>
  </si>
  <si>
    <t xml:space="preserve">BPE GPRP Grasslands Gas Plant</t>
  </si>
  <si>
    <t xml:space="preserve">BPE GPRP Stateline</t>
  </si>
  <si>
    <t xml:space="preserve">MGT CS Portland 2101</t>
  </si>
  <si>
    <t xml:space="preserve">TN</t>
  </si>
  <si>
    <t xml:space="preserve">MGT CS Petersburg 2110</t>
  </si>
  <si>
    <t xml:space="preserve">IN</t>
  </si>
  <si>
    <t xml:space="preserve">BPE GPRP Bear Creek</t>
  </si>
  <si>
    <t xml:space="preserve">MGT Potomac 2118</t>
  </si>
  <si>
    <t xml:space="preserve">ORM GPRP Demicks Lake Gas Plant</t>
  </si>
  <si>
    <t xml:space="preserve">ONEOK Gas Transportation, L.L.C.</t>
  </si>
  <si>
    <t xml:space="preserve">ONEOK Bushton Plant</t>
  </si>
  <si>
    <t xml:space="preserve">Northern Border Pipeline Garvin CS#12</t>
  </si>
  <si>
    <t xml:space="preserve">Superior Pipeline Kansas 375 Sedgwick Basin GB</t>
  </si>
  <si>
    <t xml:space="preserve">OFS GPRP Canadian Valley</t>
  </si>
  <si>
    <t xml:space="preserve">OWT CS Future Site Compressor Station</t>
  </si>
  <si>
    <t xml:space="preserve">MBI NGLP Mont Belvieu Plant</t>
  </si>
  <si>
    <t xml:space="preserve">ONEOK INC (80%); PHILLIPS 66 (10%); SPECTRA ENERGY LLC (10%)</t>
  </si>
  <si>
    <t xml:space="preserve">NUCOR STEEL JACKSON INC</t>
  </si>
  <si>
    <t xml:space="preserve">NUCOR CORP (100%)</t>
  </si>
  <si>
    <t xml:space="preserve">NUCOR STEEL DECATUR</t>
  </si>
  <si>
    <t xml:space="preserve">NUCOR STEEL MEMPHIS INC</t>
  </si>
  <si>
    <t xml:space="preserve">NUCOR-YAMATO STEEL CO</t>
  </si>
  <si>
    <t xml:space="preserve">NUCOR CORP (51%); YAMATO KOGYO (USA) CORP (49%)</t>
  </si>
  <si>
    <t xml:space="preserve">Nucor Steel Sedalia, LLC</t>
  </si>
  <si>
    <t xml:space="preserve">MO</t>
  </si>
  <si>
    <t xml:space="preserve">NUCOR STEEL BIRMINGHAM INC</t>
  </si>
  <si>
    <t xml:space="preserve">Nucor Steel Gallatin LLC</t>
  </si>
  <si>
    <t xml:space="preserve">KY</t>
  </si>
  <si>
    <t xml:space="preserve">NUCOR STEEL MARION, INC. (0351010017)</t>
  </si>
  <si>
    <t xml:space="preserve">OH</t>
  </si>
  <si>
    <t xml:space="preserve">NUCOR STEEL - BERKELEY</t>
  </si>
  <si>
    <t xml:space="preserve">SC</t>
  </si>
  <si>
    <t xml:space="preserve">NUCOR STEEL KANKAKEE, INC.</t>
  </si>
  <si>
    <t xml:space="preserve">Nucor Steel Louisiana LLC</t>
  </si>
  <si>
    <t xml:space="preserve">NUCOR STEEL NEBRASKA</t>
  </si>
  <si>
    <t xml:space="preserve">NE</t>
  </si>
  <si>
    <t xml:space="preserve">Nucor Steel Florida Inc.</t>
  </si>
  <si>
    <t xml:space="preserve">FL</t>
  </si>
  <si>
    <t xml:space="preserve">NUCOR STEEL HERTFORD COUNTY</t>
  </si>
  <si>
    <t xml:space="preserve">NC</t>
  </si>
  <si>
    <t xml:space="preserve">CALIFORNIA STEEL INDUSTRIES INC</t>
  </si>
  <si>
    <t xml:space="preserve">331221</t>
  </si>
  <si>
    <t xml:space="preserve">NUCOR CORP (51%); CALIFORNIA STEEL INDUSTRIES INC (49%)</t>
  </si>
  <si>
    <t xml:space="preserve">NUCOR STEEL - ARKANSAS</t>
  </si>
  <si>
    <t xml:space="preserve">NUCOR STEEL-TEXAS</t>
  </si>
  <si>
    <t xml:space="preserve">Nucor Steel Tuscaloosa, Inc.</t>
  </si>
  <si>
    <t xml:space="preserve">NUCOR STEEL - UTAH</t>
  </si>
  <si>
    <t xml:space="preserve">NUCOR STEEL SEATTLE INC</t>
  </si>
  <si>
    <t xml:space="preserve">WA</t>
  </si>
  <si>
    <t xml:space="preserve">NUCOR STEEL DARLINGTON</t>
  </si>
  <si>
    <t xml:space="preserve">NUCOR STEEL INDIANA</t>
  </si>
  <si>
    <t xml:space="preserve">Nucor Steel Longview</t>
  </si>
  <si>
    <t xml:space="preserve">NUCOR STEEL AUBURN INC</t>
  </si>
  <si>
    <t xml:space="preserve">NY</t>
  </si>
  <si>
    <t xml:space="preserve">Nucor Fastener Indiana</t>
  </si>
  <si>
    <t xml:space="preserve">332312</t>
  </si>
  <si>
    <t xml:space="preserve">Nucor Steel Brandenburg</t>
  </si>
  <si>
    <t xml:space="preserve">UNION CARBIDE TEXAS CITY</t>
  </si>
  <si>
    <t xml:space="preserve">DOW CHEMICAL (100%)</t>
  </si>
  <si>
    <t xml:space="preserve">SHERWIN ALUMINA PLANT</t>
  </si>
  <si>
    <t xml:space="preserve">331311</t>
  </si>
  <si>
    <t xml:space="preserve">SHERWIN ALUMINA CO LLC (100%)</t>
  </si>
  <si>
    <t xml:space="preserve">CATERPILLAR INC.-MAPLETON</t>
  </si>
  <si>
    <t xml:space="preserve">331511</t>
  </si>
  <si>
    <t xml:space="preserve">CATERPILLAR INC (100%)</t>
  </si>
  <si>
    <t xml:space="preserve">Advanced Tri-Gen Power Systems, LLC</t>
  </si>
  <si>
    <t xml:space="preserve">CATERPILLAR INCORPORATED</t>
  </si>
  <si>
    <t xml:space="preserve">333618</t>
  </si>
  <si>
    <t xml:space="preserve">SOLAR TURBINES INCORPORATED</t>
  </si>
  <si>
    <t xml:space="preserve">333611</t>
  </si>
  <si>
    <t xml:space="preserve">Dallas Overhaul Center</t>
  </si>
  <si>
    <t xml:space="preserve">PROGRESS RAIL LOCOMOTIVE INC</t>
  </si>
  <si>
    <t xml:space="preserve">336510</t>
  </si>
  <si>
    <t xml:space="preserve">Caterpillar Inc. - East Peoria Plant</t>
  </si>
  <si>
    <t xml:space="preserve">Caterpillar Inc</t>
  </si>
  <si>
    <t xml:space="preserve">JOHN DEERE FNDRY WATERLOO</t>
  </si>
  <si>
    <t xml:space="preserve">IA</t>
  </si>
  <si>
    <t xml:space="preserve">DEERE &amp; CO (100%)</t>
  </si>
  <si>
    <t xml:space="preserve">JOHN DEERE HARVESTER WORKS</t>
  </si>
  <si>
    <t xml:space="preserve">JOHN DEERE DUBUQUE WORKS</t>
  </si>
  <si>
    <t xml:space="preserve">Ford Motor Company</t>
  </si>
  <si>
    <t xml:space="preserve">MI</t>
  </si>
  <si>
    <t xml:space="preserve">336110</t>
  </si>
  <si>
    <t xml:space="preserve">FORD MOTOR CO (100%)</t>
  </si>
  <si>
    <t xml:space="preserve">FORD MOTOR COMPANY - TWIN CITIES ASSEMBLY PLANT</t>
  </si>
  <si>
    <t xml:space="preserve">Ford Motor Company (100%);</t>
  </si>
  <si>
    <t xml:space="preserve">Ford Motor Company - Chicago Assembly Plant</t>
  </si>
  <si>
    <t xml:space="preserve">FORD MOTOR COMPANY - FORD CLEVELAND SITE</t>
  </si>
  <si>
    <t xml:space="preserve">336312</t>
  </si>
  <si>
    <t xml:space="preserve">FORD MOTOR COMPANY - FORD ROUGE SITE</t>
  </si>
  <si>
    <t xml:space="preserve">FORD MOTOR COMPANY - FORD SHARONVILLE TRANSMISSION PLANT</t>
  </si>
  <si>
    <t xml:space="preserve">336350</t>
  </si>
  <si>
    <t xml:space="preserve">FORD MOTOR COMPANY - FORD MICHIGAN ASSEMBLY SITE</t>
  </si>
  <si>
    <t xml:space="preserve">FORD MOTOR COMPANY - FORD STERLING PLANT</t>
  </si>
  <si>
    <t xml:space="preserve">FORD MOTOR COMPANY - FORD OHIO ASSEMBLY PLANT</t>
  </si>
  <si>
    <t xml:space="preserve">FORD MOTOR COMPANY - FORD LOUISVILLE ASSEMBLY PLANT</t>
  </si>
  <si>
    <t xml:space="preserve">FORD MOTOR COMPANY - FORD KANSAS CITY ASSEMBLY PLANT</t>
  </si>
  <si>
    <t xml:space="preserve">FORD MOTOR COMPANY - FORD LIVONIA SITE</t>
  </si>
  <si>
    <t xml:space="preserve">FORD MOTOR COMPANY - FORD RESEARCH AND ENGINEERING CENTER</t>
  </si>
  <si>
    <t xml:space="preserve">541715</t>
  </si>
  <si>
    <t xml:space="preserve">Ford Motor Company - Flat Rock Assembly Plant</t>
  </si>
  <si>
    <t xml:space="preserve">FORD MOTOR COMPANY - FORD KENTUCKY TRUCK PLANT</t>
  </si>
  <si>
    <t xml:space="preserve">GMC TRUCK GROUP ARLINGTON ASSEMBLY PLANT</t>
  </si>
  <si>
    <t xml:space="preserve">GENERAL MOTORS CO (100%)</t>
  </si>
  <si>
    <t xml:space="preserve">GENERAL MOTORS FORT WAYNE ASSEMBLY</t>
  </si>
  <si>
    <t xml:space="preserve">GENERAL MOTORS LORDSTOWN COMPLEX EAST</t>
  </si>
  <si>
    <t xml:space="preserve">GM TECHNICAL CENTER</t>
  </si>
  <si>
    <t xml:space="preserve">541380</t>
  </si>
  <si>
    <t xml:space="preserve">General Motors LLC Orion Assembly</t>
  </si>
  <si>
    <t xml:space="preserve">GENERAL MOTORS LLC (100%)</t>
  </si>
  <si>
    <t xml:space="preserve">Defiance Casting Operations (0320010001)</t>
  </si>
  <si>
    <t xml:space="preserve">331524</t>
  </si>
  <si>
    <t xml:space="preserve">GENERAL MOTORS CORP - MILFORD PROVING GROUND</t>
  </si>
  <si>
    <t xml:space="preserve">GENERAL MOTORS LANSING DELTA TOWNSHIP</t>
  </si>
  <si>
    <t xml:space="preserve">GENERAL MOTORS MLCG DETROIT-HAMTRAMCK ASSEM BLY CENTER</t>
  </si>
  <si>
    <t xml:space="preserve">General Motors Components Holdings LLC</t>
  </si>
  <si>
    <t xml:space="preserve">GM VAN SLYKE COMPLEX</t>
  </si>
  <si>
    <t xml:space="preserve">General Motors LLC Wentzville</t>
  </si>
  <si>
    <t xml:space="preserve">General Motors Spring Hill Manufacturing</t>
  </si>
  <si>
    <t xml:space="preserve">GM Lansing Grand River</t>
  </si>
  <si>
    <t xml:space="preserve">General Motors LLC</t>
  </si>
  <si>
    <t xml:space="preserve">GENERAL MOTORS FAIRFAX ASSEMBLY PLANT</t>
  </si>
  <si>
    <t xml:space="preserve">GENERAL MOTORS LLC BEDFORD CETC</t>
  </si>
  <si>
    <t xml:space="preserve">331523</t>
  </si>
  <si>
    <t xml:space="preserve">GENERAL MOTORS SAGINAW METAL CASTING OPERATIONS</t>
  </si>
  <si>
    <t xml:space="preserve">Wal-Mart Stores, Inc.</t>
  </si>
  <si>
    <t xml:space="preserve">455211</t>
  </si>
  <si>
    <t xml:space="preserve">WAL-MART STORES INC (100%)</t>
  </si>
  <si>
    <t xml:space="preserve">Procter &amp; Gamble Paper Products</t>
  </si>
  <si>
    <t xml:space="preserve">322291</t>
  </si>
  <si>
    <t xml:space="preserve">THE PROCTER &amp; GAMBLE CO (100%)</t>
  </si>
  <si>
    <t xml:space="preserve">PROCTER &amp; GAMBLE PAPER PRODUCTS</t>
  </si>
  <si>
    <t xml:space="preserve">322120</t>
  </si>
  <si>
    <t xml:space="preserve">PROCTER &amp; GAMBLE</t>
  </si>
  <si>
    <t xml:space="preserve">GA</t>
  </si>
  <si>
    <t xml:space="preserve">PROCTER &amp; GAMBLE PAPER PRODUCTS CO</t>
  </si>
  <si>
    <t xml:space="preserve">WI</t>
  </si>
  <si>
    <t xml:space="preserve">Procter &amp; Gamble Mason Business Center</t>
  </si>
  <si>
    <t xml:space="preserve">GILLETTE CO</t>
  </si>
  <si>
    <t xml:space="preserve">MA</t>
  </si>
  <si>
    <t xml:space="preserve">332215</t>
  </si>
  <si>
    <t xml:space="preserve">Procter &amp; Gamble Company - Ivorydale</t>
  </si>
  <si>
    <t xml:space="preserve">325611</t>
  </si>
  <si>
    <t xml:space="preserve">THE PROCTER &amp; GAMBLE CO (81.3%); DTE ENERGY CO (18.7%)</t>
  </si>
  <si>
    <t xml:space="preserve">Procter &amp; Gamble Manufacturing Co.</t>
  </si>
  <si>
    <t xml:space="preserve">LILLY DEL CARIBE INC CAROLIN A</t>
  </si>
  <si>
    <t xml:space="preserve">PR</t>
  </si>
  <si>
    <t xml:space="preserve">ELI LILLY &amp; CO (100%)</t>
  </si>
  <si>
    <t xml:space="preserve">MEAD JOHNSON NUTRITION</t>
  </si>
  <si>
    <t xml:space="preserve">311511</t>
  </si>
  <si>
    <t xml:space="preserve">MEAD JOHNSON &amp; CO LLC (100%)</t>
  </si>
  <si>
    <t xml:space="preserve">Mead Johnson Nutrition</t>
  </si>
  <si>
    <t xml:space="preserve">311514</t>
  </si>
  <si>
    <t xml:space="preserve">FLOMATON TREATING FACILITY</t>
  </si>
  <si>
    <t xml:space="preserve">ROBERT GARY JOHNSON (0.011403%);E L JOHNSON JR (0.001436%);JOANN BUSH (0.000092%);JESSIE JAMES LAMBETH (0.008006%);KELLI MARIE C ROWE (0.000266%);CHIP A JOHNSON (0.000145%);ARTHUR PRESTON RUTHERFORD (0.00093%);APPALACHIAN RESOURCE MGT CO (0.116303%);MARY VIRGINIA SIMMONS (0.001001%);MARY M WOHLFORD (0.067843%);RICHARD JOHNSON (0.045107%);PENSARELI INC (0.289223%);THOMAS E MCMILLAN ESTATE (0.280529%);BARBARA PURIFOY KELLY (0.001347%);MARGARET BOTELER REVOCABLE TR (0.028936%);HIRAM L JOHNSON (0.011404%);R H BISHOP (0.07487%);JAMES E KING (0.002815%);FABO II LLC (0.057873%);PINEY FORK PRODUCTION CO (0.277079%);ROBERT &amp; ELAINE LAMBETH (0.008006%);JIM PONDER MINISTRIES INC (0.017292%);LOUIS WITT (0.009014%);KAREN TALLANT (0.000349%);ASTRAL ENERGY INC (0.011565%);CODY L WEDGEWORTH AND (0.008006%);G ASSOCIATES INC (0.012325%);R T FOGLE PROPERTIES LLC (0.016899%);BISHOP PETROLEUM INC (5.375342%);ROBERTSON-FINLEY RESOURCES INC (0.203527%);MARGARET BOTELER MARITAL TRUST (0.028936%);SANDRA LANDRETH KANE (0.008518%);WILLIAM ROY STOKES (0.009637%);SIERRA PACIFIC CORP (0.024618%);GREGORY ALLEN JOHNSON (0.000019%);RUSSELL JOHNSON (0.003594%);SUSAN J FRY (0.008518%);GEORGE RICHARD PURIFOY JR (0.001347%);DR JAMES F WHITE (0.002695%);BOB O RAMSEY (0.001002%);MARVIN LAMBETH (0.008006%);CHESTER JOHNSON (0.011403%);BILLY JOE GOLDEN (0.004071%);WILLIAM WALLACE ALLRED (0.001181%);DARYL FORE (0.007221%);JAMES D HILLHOUSE IV (0.250227%);ELBERT R ADAMS &amp; JEWEL K CUTTS (0.000089%);TRIPLE T RESOURCES CORPORATION (0.017105%);JOHN S NICHOLS FAMILY TRUST (0.016898%);CAROL ANN C STEPHENSON (0.000531%);CORTNEY S JOHNSON (0.000145%);DOUGLAS LEE JOHNSON (0.000019%);KATHERINE BLAIR (0.001001%);EBB INVESTMENTS LLC (0.019291%);RUDY RESOURCES LP (0.518469%);ZOE LOUISE HARGRAVE (0.000193%);BO-WAR LTD PARTNERSHIP (0.057874%);JEAN HARRISON RUSS (WI) (0.002695%);TENEXPLO CORPORATION (0.123731%);MICHELLE IONE PEAVY (0.003712%);MYRTLE P HAYDON ESTATE (0.002952%);CHARLES T RAMSEY (0.001002%);B M HENDERSON (0.021137%);CHERYL DIANNE REBOZO (0.001001%);JUNE R DEGROFF (0.001002%);MILDRED J DRURY (0.001001%);GEORGE H LANDRETH II (0.008518%);THOMAS BRENT CASEY (0.000531%);BENJAMIN G BELL (0.005891%);POWER PETROLEUMS INC (0.209314%);LARRY LEE WOZENCRAFT (0.003753%);CLARENCE P BELL (0.005891%);SPLASH ENERGY COMPANY (0.337047%);ESTATE OF JOHN H MORGAN (0.003753%);R W ABERCROMBIE (0.16745%);MARGARET L RICHARDS (0.001396%);M G COHEN PROPERTIES LLC (0.016899%);WILLIAM W STUBBS III (0.049836%);MARY JANE LANDRETH (0.135924%);COBY W JOHNSON (0.000145%);BOTELER-WOOD PROPERTIES LLC (0.019291%);MARIAN LEIGH BARTLETT (0.000266%);COLSON PROPERTIES LTD (0.14951%);MARY TERESA LAMBETH SMITH (0.008006%);RUSSELL J JOHNSON &amp;LINDA DIANE JOHNSON JT TENANTS (0.000913%);ENDEAVOR ENERGY RESOURCES LP (0.689884%);LINDA SUE SCOTT (0.000019%);MARILYN B HOLT (0.007855%);ANDREA M PINTAONE CANAVAN (0.000349%);BARBARA GLASS MEYER TRUST (0.01171%);E E MCKAY TRUST (0.146491%);WILLIS &amp; JEAN LAMBETH (0.008007%);BPL ENERGY INC (0.031665%);MICHAEL L JOHNSON (0.001964%);MARY JANE LANDRETH TRUST (0.08518%);GREGORY SCOTT GUTHRIE (0.001002%);JIMMIE L BUSH (0.000092%);JAMES RESOURCES INC (0.184808%);GEORGE S HILLHOUSE (0.250228%);MILLARD H LAMBETH (0.008006%);SHEANA W BUTLER ET AL (0.067843%);SHERYL ANN LANDRETH (0.008518%);WASHOE COMPANY (0.10427%);ED LEIGH MCMILLAN II (0.02894%);ESCAMBIA OPERATING COMPANY, LLC (88.21%);MADELINE J GALLOPS (0.001494%);SOLO ENERGY INC (0.007166%);ELAND ENERGY INC (0.445769%);RILEY M JOHNSON JR (0.005379%);WILLIAM H HAYS (0.001435%);CHARLES E FORE (0.000463%);RAY JOHNSON (0.001494%);MARCUS T JOHNSON (0.001964%);AVALYN M GILLMORE (0.002815%);PHILLIP M HILLHOUSE (0.250227%);JILL ELAINE C MCCULLOUGH (0.000531%);BONNIE M JOHNSON (0.003635%);KERBEROS CORPORATION (0.204818%);</t>
  </si>
  <si>
    <t xml:space="preserve">Johnson Controls</t>
  </si>
  <si>
    <t xml:space="preserve">334512</t>
  </si>
  <si>
    <t xml:space="preserve">JOHNSON CONTROLS INC (100%)</t>
  </si>
  <si>
    <t xml:space="preserve">IRIS GLEN ENVIRONMENTAL CENTER</t>
  </si>
  <si>
    <t xml:space="preserve">562212</t>
  </si>
  <si>
    <t xml:space="preserve">CITY OF JOHNSON CITY (100%)</t>
  </si>
  <si>
    <t xml:space="preserve">SC JOHNSON &amp; SON INC WAXDALE FACILITY</t>
  </si>
  <si>
    <t xml:space="preserve">325612</t>
  </si>
  <si>
    <t xml:space="preserve">SC JOHNSON &amp; SON INC (100%)</t>
  </si>
  <si>
    <t xml:space="preserve">OZONA GAS PLANT</t>
  </si>
  <si>
    <t xml:space="preserve">ENBRIDGE (US) INC (8.25%); PHILLIPS 66 (54.25%); DEVON ENERGY CORP (22.5%); JOHNSON &amp; LINDLEY LLC (15%)</t>
  </si>
  <si>
    <t xml:space="preserve">J.P. Morgan Ventures Energy Corporation</t>
  </si>
  <si>
    <t xml:space="preserve">523130</t>
  </si>
  <si>
    <t xml:space="preserve">JP MORGAN CHASE &amp; CO (100%)</t>
  </si>
  <si>
    <t xml:space="preserve">JW Aluminum</t>
  </si>
  <si>
    <t xml:space="preserve">331315</t>
  </si>
  <si>
    <t xml:space="preserve">KOHLBERG KRAVIS ROBERTS &amp; CO LP (42%); THE GOLDMAN SACHS GROUP INC (30%); PENTWATER CAPITAL MANAGEMENT LP (15%); MAGNETAR FINANCIAL LLC (13%)</t>
  </si>
  <si>
    <t xml:space="preserve">United Refining Company</t>
  </si>
  <si>
    <t xml:space="preserve">RED APPLE GROUP INC (100%)</t>
  </si>
  <si>
    <t xml:space="preserve">McKinley Paper WI Company</t>
  </si>
  <si>
    <t xml:space="preserve">APPLETON PROPERTY VENTURES LLC (100%)</t>
  </si>
  <si>
    <t xml:space="preserve">United Refining Company Subpart MM</t>
  </si>
  <si>
    <t xml:space="preserve">Ivanpah Solar Electric Generating Facility</t>
  </si>
  <si>
    <t xml:space="preserve">221114</t>
  </si>
  <si>
    <t xml:space="preserve">NRG ENERGY INC (50.1%); ALPHABET INC (28.1%); BRIGHTSOURCE ENERGY INC (21.8%)</t>
  </si>
  <si>
    <t xml:space="preserve">Reedy Creek Improvement District/Walt Disney World Resort</t>
  </si>
  <si>
    <t xml:space="preserve">713110</t>
  </si>
  <si>
    <t xml:space="preserve">THE WALT DISNEY CO (99%); REEDY CREEK IMPROVEMENT DISTRICT (1%)</t>
  </si>
  <si>
    <t xml:space="preserve">W S Lee</t>
  </si>
  <si>
    <t xml:space="preserve">DUKE ENERGY CORP (100%)</t>
  </si>
  <si>
    <t xml:space="preserve">H B Robinson / Darlington Electric Power Plant</t>
  </si>
  <si>
    <t xml:space="preserve">Osprey Energy Center</t>
  </si>
  <si>
    <t xml:space="preserve">Mayo Electric Generating Plant</t>
  </si>
  <si>
    <t xml:space="preserve">Intercession City Power Plant</t>
  </si>
  <si>
    <t xml:space="preserve">Dan River</t>
  </si>
  <si>
    <t xml:space="preserve">W H Weatherspoon Steam Electric Plant</t>
  </si>
  <si>
    <t xml:space="preserve">Duke Energy Power Delivery Midwest</t>
  </si>
  <si>
    <t xml:space="preserve">221121</t>
  </si>
  <si>
    <t xml:space="preserve">Wheatland Generating Facility LLC</t>
  </si>
  <si>
    <t xml:space="preserve">Duke Energy Indiana CHP at Purdue University</t>
  </si>
  <si>
    <t xml:space="preserve">Riverbend</t>
  </si>
  <si>
    <t xml:space="preserve">DUKE ENERGY CORP (100%);</t>
  </si>
  <si>
    <t xml:space="preserve">Piedmont Natural Gas - North Carolina</t>
  </si>
  <si>
    <t xml:space="preserve">221210</t>
  </si>
  <si>
    <t xml:space="preserve">Clemson CHP</t>
  </si>
  <si>
    <t xml:space="preserve">221330</t>
  </si>
  <si>
    <t xml:space="preserve">R Gallagher</t>
  </si>
  <si>
    <t xml:space="preserve">Hines Energy Complex</t>
  </si>
  <si>
    <t xml:space="preserve">Asheville Steam Electric Plant</t>
  </si>
  <si>
    <t xml:space="preserve">Buck</t>
  </si>
  <si>
    <t xml:space="preserve">Belews Creek</t>
  </si>
  <si>
    <t xml:space="preserve">P L Bartow Power Plant</t>
  </si>
  <si>
    <t xml:space="preserve">East Bend</t>
  </si>
  <si>
    <t xml:space="preserve">Cayuga</t>
  </si>
  <si>
    <t xml:space="preserve">University of Florida Cogeneration Plant</t>
  </si>
  <si>
    <t xml:space="preserve">Wabash River Gen Station</t>
  </si>
  <si>
    <t xml:space="preserve">DUKE ENERGY CORP (72%); WABASH VALLEY POWER ASSOC (28%)</t>
  </si>
  <si>
    <t xml:space="preserve">Lincoln</t>
  </si>
  <si>
    <t xml:space="preserve">H F Lee Steam Electric Plant</t>
  </si>
  <si>
    <t xml:space="preserve">Rockingham County Combustion Turbine</t>
  </si>
  <si>
    <t xml:space="preserve">Edwardsport</t>
  </si>
  <si>
    <t xml:space="preserve">Woodsdale</t>
  </si>
  <si>
    <t xml:space="preserve">T&amp;D FLORIDA</t>
  </si>
  <si>
    <t xml:space="preserve">Roxboro Steam Electric Plant</t>
  </si>
  <si>
    <t xml:space="preserve">Tiger Bay Cogeneration Facility</t>
  </si>
  <si>
    <t xml:space="preserve">Piedmont Natural Gas - Tennessee</t>
  </si>
  <si>
    <t xml:space="preserve">Piedmont Natural Gas - South Carolina</t>
  </si>
  <si>
    <t xml:space="preserve">Duke Energy Vermillion, II LLC</t>
  </si>
  <si>
    <t xml:space="preserve">DUKE ENERGY CORP (62.5%); WABASH VALLEY POWER ASSOC (37.5%)</t>
  </si>
  <si>
    <t xml:space="preserve">Cape Fear Steam Electric Plant</t>
  </si>
  <si>
    <t xml:space="preserve">G G Allen</t>
  </si>
  <si>
    <t xml:space="preserve">DeBary Power Plant</t>
  </si>
  <si>
    <t xml:space="preserve">Suwannee River Power Plant</t>
  </si>
  <si>
    <t xml:space="preserve">Crystal River Power Plant</t>
  </si>
  <si>
    <t xml:space="preserve">Richmond County Combustion Turbine Plant</t>
  </si>
  <si>
    <t xml:space="preserve">Gibson</t>
  </si>
  <si>
    <t xml:space="preserve">DUKE ENERGY CORP (90.11%); WABASH VALLEY POWER ASSOC (4.95%); INDIANA MUNICIPAL POWER AGENCY (4.94%)</t>
  </si>
  <si>
    <t xml:space="preserve">Marshall</t>
  </si>
  <si>
    <t xml:space="preserve">Anclote Power Plant</t>
  </si>
  <si>
    <t xml:space="preserve">Madison Generating Station</t>
  </si>
  <si>
    <t xml:space="preserve">L V Sutton Steam Electric Plant</t>
  </si>
  <si>
    <t xml:space="preserve">Duke Energy Kentucky Gas Operation</t>
  </si>
  <si>
    <t xml:space="preserve">Cliffside</t>
  </si>
  <si>
    <t xml:space="preserve">Mill Creek Combustion Turbine Sta</t>
  </si>
  <si>
    <t xml:space="preserve">G E Turner Power Plant</t>
  </si>
  <si>
    <t xml:space="preserve">Walter C Beckjord Generating Station</t>
  </si>
  <si>
    <t xml:space="preserve">DUKE ENERGY CORP (80.4%); AEP GENERATION RESOURCES INC (3.9%); THE DAYTON POWER &amp; LIGHT CO (15.7%)</t>
  </si>
  <si>
    <t xml:space="preserve">Duke Energy Ohio Gas Operation</t>
  </si>
  <si>
    <t xml:space="preserve">Noblesville</t>
  </si>
  <si>
    <t xml:space="preserve">Duke Energy Power Delivery Carolinas</t>
  </si>
  <si>
    <t xml:space="preserve">Henry County Generating Station</t>
  </si>
  <si>
    <t xml:space="preserve">Gulf Power Company Transmission and Distribution</t>
  </si>
  <si>
    <t xml:space="preserve">NEXTERA ENERGY INC (100%)</t>
  </si>
  <si>
    <t xml:space="preserve">Manatee</t>
  </si>
  <si>
    <t xml:space="preserve">Okeechobee Clean Energy Center</t>
  </si>
  <si>
    <t xml:space="preserve">Stanton A</t>
  </si>
  <si>
    <t xml:space="preserve">Daniel Electric Generating Plant</t>
  </si>
  <si>
    <t xml:space="preserve">THE SOUTHERN CO (75%); NEXTERA ENERGY INC (25%)</t>
  </si>
  <si>
    <t xml:space="preserve">Riviera</t>
  </si>
  <si>
    <t xml:space="preserve">Ponderosa Gathering LLC</t>
  </si>
  <si>
    <t xml:space="preserve">Florida City Gas</t>
  </si>
  <si>
    <t xml:space="preserve">Turkey Point</t>
  </si>
  <si>
    <t xml:space="preserve">Trinity Operating USG, LLC - Arkoma (Basin 345)</t>
  </si>
  <si>
    <t xml:space="preserve">FPL Transmission and Distribution System</t>
  </si>
  <si>
    <t xml:space="preserve">Oleander Power Project</t>
  </si>
  <si>
    <t xml:space="preserve">Trinity Operating (USG), LLC - Arkla Basin (230)</t>
  </si>
  <si>
    <t xml:space="preserve">PEA RIDGE</t>
  </si>
  <si>
    <t xml:space="preserve">William F Wyman</t>
  </si>
  <si>
    <t xml:space="preserve">ME</t>
  </si>
  <si>
    <t xml:space="preserve">Luz Solar Partners III - VII</t>
  </si>
  <si>
    <t xml:space="preserve">FORTRESS INVESTMENT GROUP (49.33%); NEXTERA ENERGY INC (44.966%); EXELON CORP (2.434%); EXELON CORP (1.768%)</t>
  </si>
  <si>
    <t xml:space="preserve">Bellingham</t>
  </si>
  <si>
    <t xml:space="preserve">Trinity Operating (USG), LLC - Gulf Coast Basin (220)</t>
  </si>
  <si>
    <t xml:space="preserve">West County Energy Center</t>
  </si>
  <si>
    <t xml:space="preserve">Port Everglades</t>
  </si>
  <si>
    <t xml:space="preserve">Lansing Smith Generating Plant</t>
  </si>
  <si>
    <t xml:space="preserve">Scherer</t>
  </si>
  <si>
    <t xml:space="preserve">NEXTERA ENERGY INC (8.33%); OGLETHORPE POWER CORP (40%); THE SOUTHERN CO (30.6%); MUNICIPAL ELECTRIC AUTHORITY OF GEORGIA (20.13%)</t>
  </si>
  <si>
    <t xml:space="preserve">Lauderdale</t>
  </si>
  <si>
    <t xml:space="preserve">Lone Star Transmission, LLC</t>
  </si>
  <si>
    <t xml:space="preserve">NEXTERA ENERGY (100%)</t>
  </si>
  <si>
    <t xml:space="preserve">Fort Myers</t>
  </si>
  <si>
    <t xml:space="preserve">Trinity Operating USG, LLC - Chautauqua Platform (Basin 355)</t>
  </si>
  <si>
    <t xml:space="preserve">Martin</t>
  </si>
  <si>
    <t xml:space="preserve">Cape Canaveral</t>
  </si>
  <si>
    <t xml:space="preserve">Gulf Clean Energy Center</t>
  </si>
  <si>
    <t xml:space="preserve">Sanford</t>
  </si>
  <si>
    <t xml:space="preserve">Robins</t>
  </si>
  <si>
    <t xml:space="preserve">SOUTHERN CO (100%);</t>
  </si>
  <si>
    <t xml:space="preserve">SNG Station 4140 Reform, AL</t>
  </si>
  <si>
    <t xml:space="preserve">KINDER MORGAN INC (50%); THE SOUTHERN CO (50%)</t>
  </si>
  <si>
    <t xml:space="preserve">Plant Rowan County</t>
  </si>
  <si>
    <t xml:space="preserve">THE SOUTHERN CO (100%)</t>
  </si>
  <si>
    <t xml:space="preserve">Theodore Cogeneration</t>
  </si>
  <si>
    <t xml:space="preserve">Scholz Electric Generating Plant</t>
  </si>
  <si>
    <t xml:space="preserve">SOUTHERN CO (100%)</t>
  </si>
  <si>
    <t xml:space="preserve">Sambrito Compressor Station</t>
  </si>
  <si>
    <t xml:space="preserve">SOUTHERN UTE INDIAN TRIBE (51%); KINDER MORGAN INC (49%)</t>
  </si>
  <si>
    <t xml:space="preserve">Wansley (6052)</t>
  </si>
  <si>
    <t xml:space="preserve">MUNICIPAL ELECTRIC AUTHORITY OF GEORGIA (9%); THE SOUTHERN CO (72%); OGLETHORPE POWER CORP (18%); CITY OF DALTON GEORGIA (1%)</t>
  </si>
  <si>
    <t xml:space="preserve">NICOR GAS</t>
  </si>
  <si>
    <t xml:space="preserve">E C Gaston</t>
  </si>
  <si>
    <t xml:space="preserve">Washington County Cogen (Olin)</t>
  </si>
  <si>
    <t xml:space="preserve">Aka Energy LLC Denver Basin Gathering &amp; Boosting</t>
  </si>
  <si>
    <t xml:space="preserve">SOUTHERN UTE INDIAN TRIBE (100%)</t>
  </si>
  <si>
    <t xml:space="preserve">SOUTHERN MINNESOTA BEET SUGAR COOPERATIVE</t>
  </si>
  <si>
    <t xml:space="preserve">311313</t>
  </si>
  <si>
    <t xml:space="preserve">SOUTHERN MINNESOTA BEET SUGAR COOPERATIVE (100%)</t>
  </si>
  <si>
    <t xml:space="preserve">Milner Butte Landfill</t>
  </si>
  <si>
    <t xml:space="preserve">ID</t>
  </si>
  <si>
    <t xml:space="preserve">SOUTHERN IDAHO REGIONAL SOLID WASTE DISTRICT (100%)</t>
  </si>
  <si>
    <t xml:space="preserve">SNG Station 5122 Franklinton, LA</t>
  </si>
  <si>
    <t xml:space="preserve">SNG Station 5272 Thomaston, GA</t>
  </si>
  <si>
    <t xml:space="preserve">Canyon Power Plant</t>
  </si>
  <si>
    <t xml:space="preserve">SOUTHERN CALIFORNIA PUBLIC POWER AUTHORITY (100%)</t>
  </si>
  <si>
    <t xml:space="preserve">Apex Generating Station</t>
  </si>
  <si>
    <t xml:space="preserve">NV</t>
  </si>
  <si>
    <t xml:space="preserve">Harllee Branch</t>
  </si>
  <si>
    <t xml:space="preserve">Southern Oklahoma Regional Disposal Landfill</t>
  </si>
  <si>
    <t xml:space="preserve">SOUTHERN OKLAHOMA REGIONAL DISPOSAL INC (100%)</t>
  </si>
  <si>
    <t xml:space="preserve">Macon LNG</t>
  </si>
  <si>
    <t xml:space="preserve">Mitchell (GA)</t>
  </si>
  <si>
    <t xml:space="preserve">E B Harris Generating Plant</t>
  </si>
  <si>
    <t xml:space="preserve">Wansley CC</t>
  </si>
  <si>
    <t xml:space="preserve">Cherokee LNG</t>
  </si>
  <si>
    <t xml:space="preserve">Gorgas</t>
  </si>
  <si>
    <t xml:space="preserve">SNG Station 5245 Selma, AL</t>
  </si>
  <si>
    <t xml:space="preserve">McManus</t>
  </si>
  <si>
    <t xml:space="preserve">Red Hills Generation Facility</t>
  </si>
  <si>
    <t xml:space="preserve">Sweatt Electric Generating Plant</t>
  </si>
  <si>
    <t xml:space="preserve">Calhoun Generating Facility</t>
  </si>
  <si>
    <t xml:space="preserve">SNG Station 5000 Shadyside, LA</t>
  </si>
  <si>
    <t xml:space="preserve">Virginia Natural Gas</t>
  </si>
  <si>
    <t xml:space="preserve">VA</t>
  </si>
  <si>
    <t xml:space="preserve">Chattanoga Gas Company</t>
  </si>
  <si>
    <t xml:space="preserve">Nicor Gas Ancona</t>
  </si>
  <si>
    <t xml:space="preserve">Greene County</t>
  </si>
  <si>
    <t xml:space="preserve">Jack McDonough</t>
  </si>
  <si>
    <t xml:space="preserve">SNG Station 5216 Bay Springs, MS</t>
  </si>
  <si>
    <t xml:space="preserve">Highwood Generating Station</t>
  </si>
  <si>
    <t xml:space="preserve">SOUTHERN MONTANA ELECTRIC GENERATION &amp; TRANSMISSION COOPERATIVE INC  (100%)</t>
  </si>
  <si>
    <t xml:space="preserve">Nicor Gas Troy Grove</t>
  </si>
  <si>
    <t xml:space="preserve">SWN Production (Louisiana)</t>
  </si>
  <si>
    <t xml:space="preserve">GEOSOUTHERN ENERGY CORP (100%)</t>
  </si>
  <si>
    <t xml:space="preserve">NORFOLK SOUTHERN RAILWAY CO/JUNIATA LOCOMOTIVE SHOPS</t>
  </si>
  <si>
    <t xml:space="preserve">488210</t>
  </si>
  <si>
    <t xml:space="preserve">NORFOLK SOUTHERN RAILWAY CORP (100%)</t>
  </si>
  <si>
    <t xml:space="preserve">Coyote Gulch Treating Plant</t>
  </si>
  <si>
    <t xml:space="preserve">Southern Company Transmission and Distribution</t>
  </si>
  <si>
    <t xml:space="preserve">Outlaw Compressor Station</t>
  </si>
  <si>
    <t xml:space="preserve">SOUTHERN UTE INDIAN TRIBE (51%); KINDER MORGAN (49%)</t>
  </si>
  <si>
    <t xml:space="preserve">Barry</t>
  </si>
  <si>
    <t xml:space="preserve">SNG Station 5230 York, AL</t>
  </si>
  <si>
    <t xml:space="preserve">SNG Station 5267 Ellerslie, GA</t>
  </si>
  <si>
    <t xml:space="preserve">GEP HAYNESVILLE II, LLC - 230 - ARKLA BASIN</t>
  </si>
  <si>
    <t xml:space="preserve">Pump Canyon Compreesor Station</t>
  </si>
  <si>
    <t xml:space="preserve">James H Miller Jr</t>
  </si>
  <si>
    <t xml:space="preserve">THE SOUTHERN CO (95.92%); POWERSOUTH ENERGY COOPERATIVE (4.08%)</t>
  </si>
  <si>
    <t xml:space="preserve">Sherburne County</t>
  </si>
  <si>
    <t xml:space="preserve">XCEL ENERGY INC (84.41%); SOUTHERN MINNESOTA MUNICIPAL POWER AGENCY (15.59%)</t>
  </si>
  <si>
    <t xml:space="preserve">Edward L Addison Generating Plant</t>
  </si>
  <si>
    <t xml:space="preserve">Transmission Pipeline Facility, Southern Natural Gas Company, L.L.C.</t>
  </si>
  <si>
    <t xml:space="preserve">Chevron Cogenerating Station</t>
  </si>
  <si>
    <t xml:space="preserve">Southern Energy Operating, LLC MidGulf Coast Basin</t>
  </si>
  <si>
    <t xml:space="preserve">Southern Energy Operating, LLC (100%)</t>
  </si>
  <si>
    <t xml:space="preserve">Yates</t>
  </si>
  <si>
    <t xml:space="preserve">SNG Station 5236 Gallion, AL</t>
  </si>
  <si>
    <t xml:space="preserve">David M Ratcliffe</t>
  </si>
  <si>
    <t xml:space="preserve">SNG Station 5130 Pearl River, MS</t>
  </si>
  <si>
    <t xml:space="preserve">SNG Station 5222 Enterprise, MS</t>
  </si>
  <si>
    <t xml:space="preserve">SNG Station 5283 Hall Gate, GA</t>
  </si>
  <si>
    <t xml:space="preserve">Marion</t>
  </si>
  <si>
    <t xml:space="preserve">SOUTHERN ILLINOIS POWER COOPERATIVE (100%)</t>
  </si>
  <si>
    <t xml:space="preserve">Arkansas Loop &amp; Simpson Treating Plants</t>
  </si>
  <si>
    <t xml:space="preserve">Southern Ute Indian Tribe Utilities Division</t>
  </si>
  <si>
    <t xml:space="preserve">Southern Ute Indian Tribe Utilities Division (100%);</t>
  </si>
  <si>
    <t xml:space="preserve">SNG Station 4152 Tarrant, AL</t>
  </si>
  <si>
    <t xml:space="preserve">Southern Hens, Inc.</t>
  </si>
  <si>
    <t xml:space="preserve">311615</t>
  </si>
  <si>
    <t xml:space="preserve">SOUTHERN HENS INC (100%)</t>
  </si>
  <si>
    <t xml:space="preserve">Red Willow Production Co.</t>
  </si>
  <si>
    <t xml:space="preserve">Southern Public Service Co.</t>
  </si>
  <si>
    <t xml:space="preserve">WV</t>
  </si>
  <si>
    <t xml:space="preserve">SOUTHERN PUBLIC SERVICE CO INC (100%)</t>
  </si>
  <si>
    <t xml:space="preserve">HOLLY SUGAR CORP DBA SPRECKELS COMPANY</t>
  </si>
  <si>
    <t xml:space="preserve">Central Alabama Generating Station</t>
  </si>
  <si>
    <t xml:space="preserve">Red Willow San Juan Basin Gathering &amp; Boosting</t>
  </si>
  <si>
    <t xml:space="preserve">SNG Station 4310 Muldon Storage, MS</t>
  </si>
  <si>
    <t xml:space="preserve">SOUTHERN ILLINOIS UNIVERSITY</t>
  </si>
  <si>
    <t xml:space="preserve">611310</t>
  </si>
  <si>
    <t xml:space="preserve">SOUTHERN ILLINOIS UNIVERSITY SYSTEM (100%)</t>
  </si>
  <si>
    <t xml:space="preserve">SNG Station 5288 Wrens, GA</t>
  </si>
  <si>
    <t xml:space="preserve">Bondad Compressor Station</t>
  </si>
  <si>
    <t xml:space="preserve">SNG Station 5277 Ocmulgee, GA</t>
  </si>
  <si>
    <t xml:space="preserve">GeoSouthern Energy Corporation</t>
  </si>
  <si>
    <t xml:space="preserve">Plant H. Allen Franklin</t>
  </si>
  <si>
    <t xml:space="preserve">Kraft</t>
  </si>
  <si>
    <t xml:space="preserve">SNG Station 5259 Auburn, AL</t>
  </si>
  <si>
    <t xml:space="preserve">Atlanta Gas Light Company</t>
  </si>
  <si>
    <t xml:space="preserve">SNG Station 5211 Gwinville, MS</t>
  </si>
  <si>
    <t xml:space="preserve">SNG Station 4132 Louisville, MS</t>
  </si>
  <si>
    <t xml:space="preserve">McIntosh Combined Cycle Facility</t>
  </si>
  <si>
    <t xml:space="preserve">South Ignacio CDP</t>
  </si>
  <si>
    <t xml:space="preserve">Watson Electric Generating Plant</t>
  </si>
  <si>
    <t xml:space="preserve">Bowen</t>
  </si>
  <si>
    <t xml:space="preserve">Powell Avenue Steam Plant</t>
  </si>
  <si>
    <t xml:space="preserve">Magnolia</t>
  </si>
  <si>
    <t xml:space="preserve">Hammond</t>
  </si>
  <si>
    <t xml:space="preserve">Red Cedar Gathering San Juan Basin Gathering &amp; Boosting</t>
  </si>
  <si>
    <t xml:space="preserve">Southern Star-Welda Compressor Station</t>
  </si>
  <si>
    <t xml:space="preserve">Southern Star Acquisition Corp (100%)</t>
  </si>
  <si>
    <t xml:space="preserve">SNG Station 5010 White Castle, LA</t>
  </si>
  <si>
    <t xml:space="preserve">McIntosh (6124)</t>
  </si>
  <si>
    <t xml:space="preserve">SNG Station 4165 DeArmanville, AL</t>
  </si>
  <si>
    <t xml:space="preserve">Gadsden</t>
  </si>
  <si>
    <t xml:space="preserve">Cleveland County Generating Facility</t>
  </si>
  <si>
    <t xml:space="preserve">Dahlberg (Jackson County)</t>
  </si>
  <si>
    <t xml:space="preserve">SNG Station 5110 Toca, LA</t>
  </si>
  <si>
    <t xml:space="preserve">Nacogdoches Power LLC</t>
  </si>
  <si>
    <t xml:space="preserve">TOTAL</t>
  </si>
  <si>
    <t xml:space="preserve">An orange cell in column G means EPA holds a record for that facility-year but no CO2e value. Usually a supplier subpart rather than a direct emitter.</t>
  </si>
  <si>
    <t xml:space="preserve">NAICS requested</t>
  </si>
  <si>
    <t xml:space="preserve">Factor with margins</t>
  </si>
  <si>
    <t xml:space="preserve">Difference</t>
  </si>
  <si>
    <t xml:space="preserve">NO FACTOR FOUND</t>
  </si>
  <si>
    <t xml:space="preserve">Unit: kg CO2e per 2022 USD of purchaser price. All GHGs, AR5 100-year GWP. Source: EPA Supply Chain GHG Emission Factors v1.3 by NAICS-6.</t>
  </si>
  <si>
    <t xml:space="preserve">Data gaps, stated openly</t>
  </si>
  <si>
    <t xml:space="preserve">Every absence below is documented rather than filled in silently. How you treat them is the whole subject of the analysis.</t>
  </si>
  <si>
    <t xml:space="preserve">What is missing</t>
  </si>
  <si>
    <t xml:space="preserve">Why</t>
  </si>
  <si>
    <t xml:space="preserve">Consequence</t>
  </si>
  <si>
    <t xml:space="preserve">Revenue</t>
  </si>
  <si>
    <t xml:space="preserve">No value under any of the 5 XBRL tags tried. CIK 0002115436 resolved to 'ExxonMobil Holdings Corp', which may be the wrong legal entity.</t>
  </si>
  <si>
    <t xml:space="preserve">No denominator, so no intensity. Excluded from every specification.</t>
  </si>
  <si>
    <t xml:space="preserve">Reported Scope 1 emissions</t>
  </si>
  <si>
    <t xml:space="preserve">EPA search 'DOW CHEMICAL' returned 1 facilities, 0 with a CO2e value.</t>
  </si>
  <si>
    <t xml:space="preserve">Handled by the missing-data rule: excluded, ranked worst, or replaced by the estimate. Three different answers.</t>
  </si>
  <si>
    <t xml:space="preserve">EPA search 'SHERWIN' returned 1 facilities, 0 with a CO2e value.</t>
  </si>
  <si>
    <t xml:space="preserve">EPA search 'UNION PACIFIC' returned 0 facilities, 0 with a CO2e value.</t>
  </si>
  <si>
    <t xml:space="preserve">EPA search 'AMAZON' returned 0 facilities, 0 with a CO2e value.</t>
  </si>
  <si>
    <t xml:space="preserve">EPA search 'WAL-MART' returned 1 facilities, 0 with a CO2e value.</t>
  </si>
  <si>
    <t xml:space="preserve">Industry emission factor</t>
  </si>
  <si>
    <t xml:space="preserve">NAICS 325610 not present in the EPA table, which omits most finance and information sectors.</t>
  </si>
  <si>
    <t xml:space="preserve">No modelled estimate. Ranked only where the worst-case rule applies.</t>
  </si>
  <si>
    <t xml:space="preserve">EPA search 'COCA COLA' returned 0 facilities, 0 with a CO2e value.</t>
  </si>
  <si>
    <t xml:space="preserve">EPA search 'UNITEDHEALTH' returned 0 facilities, 0 with a CO2e value.</t>
  </si>
  <si>
    <t xml:space="preserve">EPA search 'JP MORGAN' returned 1 facilities, 0 with a CO2e value.</t>
  </si>
  <si>
    <t xml:space="preserve">EPA search 'BANK OF AMERICA' returned 0 facilities, 0 with a CO2e value.</t>
  </si>
  <si>
    <t xml:space="preserve">EPA search 'MICROSOFT' returned 0 facilities, 0 with a CO2e value.</t>
  </si>
  <si>
    <t xml:space="preserve">NAICS 513210 not present in the EPA table, which omits most finance and information sectors.</t>
  </si>
  <si>
    <t xml:space="preserve">EPA search 'NVIDIA' returned 0 facilities, 0 with a CO2e value.</t>
  </si>
  <si>
    <t xml:space="preserve">EPA search 'FACEBOOK' returned 0 facilities, 0 with a CO2e value.</t>
  </si>
  <si>
    <t xml:space="preserve">NAICS 516210 not present in the EPA table, which omits most finance and information sectors.</t>
  </si>
  <si>
    <t xml:space="preserve">NAICS 221112 not present in the EPA table, which omits most finance and information sectors.</t>
  </si>
  <si>
    <t xml:space="preserve">20 gaps across 30 companies.</t>
  </si>
  <si>
    <t xml:space="preserve">Provenance: the exact call behind every field</t>
  </si>
  <si>
    <t xml:space="preserve">Pulled 12 September 2026. All endpoints are free and require no API key. 132 responses were cached to data/raw/ and can be re-inspected.</t>
  </si>
  <si>
    <t xml:space="preserve">Field</t>
  </si>
  <si>
    <t xml:space="preserve">Source</t>
  </si>
  <si>
    <t xml:space="preserve">Exact endpoint or file</t>
  </si>
  <si>
    <t xml:space="preserve">Notes</t>
  </si>
  <si>
    <t xml:space="preserve">SEC</t>
  </si>
  <si>
    <t xml:space="preserve">https://www.sec.gov/files/company_tickers.json</t>
  </si>
  <si>
    <t xml:space="preserve">Ticker to CIK. XOM mis-resolved to a holding entity; Exxon Mobil Corporation is CIK 0000034088.</t>
  </si>
  <si>
    <t xml:space="preserve">Revenue FY2023</t>
  </si>
  <si>
    <t xml:space="preserve">SEC XBRL frames</t>
  </si>
  <si>
    <t xml:space="preserve">https://data.sec.gov/api/xbrl/frames/us-gaap/&lt;TAG&gt;/USD/CY2023.json</t>
  </si>
  <si>
    <t xml:space="preserve">One call returns every filer. Five tags tried in order: RevenueFromContractWithCustomerExcludingAssessedTax, Revenues, RevenueFromContractWithCustomerIncludingAssessedTax, RevenuesNetOfInterestExpense, SalesRevenueNet. 'Revenues' alone misses most modern filers.</t>
  </si>
  <si>
    <t xml:space="preserve">Facility list</t>
  </si>
  <si>
    <t xml:space="preserve">EPA GHGRP</t>
  </si>
  <si>
    <t xml:space="preserve">https://data.epa.gov/dmapservice/ghg.pub_dim_facility/parent_company/contains/&lt;NAME&gt;/year/equals/2023/0:200/JSON</t>
  </si>
  <si>
    <t xml:space="preserve">Searched on a curated parent-name string. 'WALMART' returns nothing; the string is 'WAL-MART'.</t>
  </si>
  <si>
    <t xml:space="preserve">Facility emissions</t>
  </si>
  <si>
    <t xml:space="preserve">https://data.epa.gov/dmapservice/ghg.pub_facts_sector_ghg_emission/facility_id/in/&lt;IDS&gt;/year/equals/2023/0:300/JSON</t>
  </si>
  <si>
    <t xml:space="preserve">Batched 7 facility ids per call because of URL length. Summed across gases per facility.</t>
  </si>
  <si>
    <t xml:space="preserve">Ownership share</t>
  </si>
  <si>
    <t xml:space="preserve">same facility record, parent_company field</t>
  </si>
  <si>
    <t xml:space="preserve">Parsed from the percentage inside the string, e.g. 'NUCOR CORP (51%); YAMATO KOGYO (USA) CORP (49%)'.</t>
  </si>
  <si>
    <t xml:space="preserve">Industry factor</t>
  </si>
  <si>
    <t xml:space="preserve">EPA</t>
  </si>
  <si>
    <t xml:space="preserve">https://pasteur.epa.gov/uploads/10.23719/1531143/SupplyChainGHGEmissionFactors_v1.3.0_NAICS_CO2e_USD2022.csv</t>
  </si>
  <si>
    <t xml:space="preserve">1,016 NAICS-6 commodities. Matched on progressively shorter NAICS prefixes because the table mixes aggregation levels.</t>
  </si>
  <si>
    <t xml:space="preserve">Market cap</t>
  </si>
  <si>
    <t xml:space="preserve">yfinance</t>
  </si>
  <si>
    <t xml:space="preserve">Ticker(...).info['marketCap']</t>
  </si>
  <si>
    <t xml:space="preserve">Optional. Absent here, so the second denominator was unavailable.</t>
  </si>
  <si>
    <t xml:space="preserve">manual</t>
  </si>
  <si>
    <t xml:space="preserve">companies.csv</t>
  </si>
  <si>
    <t xml:space="preserve">Assigned by hand, 10 sectors x 3 companies, so within-sector comparison is possible.</t>
  </si>
  <si>
    <t xml:space="preserve">Assigned by hand per company as the expected primary industry, then matched against the EPA table.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</si>
</sst>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0.000"/>
    <numFmt numFmtId="168" formatCode="#,##0.0"/>
    <numFmt numFmtId="169" formatCode="0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4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4" t="s">
        <v>21</v>
      </c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4" t="s">
        <v>23</v>
      </c>
    </row>
    <row r="31" customFormat="false" ht="15" hidden="false" customHeight="false" outlineLevel="0" collapsed="false">
      <c r="A31" s="4" t="s">
        <v>24</v>
      </c>
    </row>
    <row r="32" customFormat="false" ht="15" hidden="false" customHeight="false" outlineLevel="0" collapsed="false">
      <c r="A32" s="4" t="s">
        <v>25</v>
      </c>
    </row>
    <row r="33" customFormat="false" ht="15" hidden="false" customHeight="false" outlineLevel="0" collapsed="false">
      <c r="A33" s="4" t="s">
        <v>26</v>
      </c>
    </row>
    <row r="34" customFormat="false" ht="15" hidden="false" customHeight="false" outlineLevel="0" collapsed="false">
      <c r="A34" s="4" t="s">
        <v>27</v>
      </c>
    </row>
    <row r="35" customFormat="false" ht="15" hidden="false" customHeight="false" outlineLevel="0" collapsed="false">
      <c r="A35" s="4" t="s">
        <v>28</v>
      </c>
    </row>
    <row r="36" customFormat="false" ht="15" hidden="false" customHeight="false" outlineLevel="0" collapsed="false">
      <c r="A36" s="4" t="s">
        <v>29</v>
      </c>
    </row>
    <row r="37" customFormat="false" ht="15" hidden="false" customHeight="false" outlineLevel="0" collapsed="false">
      <c r="A37" s="4" t="s">
        <v>30</v>
      </c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4" t="s">
        <v>32</v>
      </c>
    </row>
    <row r="41" customFormat="false" ht="15" hidden="false" customHeight="false" outlineLevel="0" collapsed="false">
      <c r="A41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1" min="10" style="0" width="2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6" min="15" style="0" width="12"/>
    <col collapsed="false" customWidth="true" hidden="false" outlineLevel="0" max="17" min="17" style="0" width="38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16"/>
    <col collapsed="false" customWidth="true" hidden="false" outlineLevel="0" max="22" min="22" style="0" width="60"/>
  </cols>
  <sheetData>
    <row r="1" customFormat="false" ht="15" hidden="false" customHeight="false" outlineLevel="0" collapsed="false">
      <c r="A1" s="6" t="s">
        <v>34</v>
      </c>
      <c r="B1" s="6"/>
      <c r="C1" s="6"/>
      <c r="D1" s="6"/>
      <c r="E1" s="6"/>
      <c r="F1" s="6"/>
      <c r="G1" s="7" t="s">
        <v>35</v>
      </c>
      <c r="H1" s="7"/>
      <c r="I1" s="7"/>
      <c r="J1" s="8" t="s">
        <v>36</v>
      </c>
      <c r="K1" s="8"/>
      <c r="L1" s="8"/>
      <c r="M1" s="8"/>
      <c r="N1" s="8"/>
      <c r="O1" s="8"/>
      <c r="P1" s="6" t="s">
        <v>37</v>
      </c>
      <c r="Q1" s="6"/>
      <c r="R1" s="6"/>
      <c r="S1" s="6"/>
      <c r="T1" s="9" t="s">
        <v>38</v>
      </c>
      <c r="U1" s="9"/>
      <c r="V1" s="9"/>
    </row>
    <row r="2" customFormat="false" ht="57.75" hidden="false" customHeight="true" outlineLevel="0" collapsed="false">
      <c r="A2" s="10" t="s">
        <v>39</v>
      </c>
      <c r="B2" s="10" t="s">
        <v>40</v>
      </c>
      <c r="C2" s="10" t="s">
        <v>41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10" t="s">
        <v>47</v>
      </c>
      <c r="J2" s="10" t="s">
        <v>48</v>
      </c>
      <c r="K2" s="10" t="s">
        <v>49</v>
      </c>
      <c r="L2" s="10" t="s">
        <v>50</v>
      </c>
      <c r="M2" s="10" t="s">
        <v>51</v>
      </c>
      <c r="N2" s="10" t="s">
        <v>52</v>
      </c>
      <c r="O2" s="10" t="s">
        <v>53</v>
      </c>
      <c r="P2" s="10" t="s">
        <v>54</v>
      </c>
      <c r="Q2" s="10" t="s">
        <v>55</v>
      </c>
      <c r="R2" s="10" t="s">
        <v>56</v>
      </c>
      <c r="S2" s="10" t="s">
        <v>57</v>
      </c>
      <c r="T2" s="10" t="s">
        <v>58</v>
      </c>
      <c r="U2" s="10" t="s">
        <v>59</v>
      </c>
      <c r="V2" s="10" t="s">
        <v>60</v>
      </c>
    </row>
    <row r="3" customFormat="false" ht="15" hidden="false" customHeight="false" outlineLevel="0" collapsed="false">
      <c r="A3" s="2" t="s">
        <v>61</v>
      </c>
      <c r="G3" s="2" t="s">
        <v>62</v>
      </c>
      <c r="I3" s="2" t="s">
        <v>62</v>
      </c>
      <c r="J3" s="2" t="s">
        <v>63</v>
      </c>
      <c r="K3" s="2" t="s">
        <v>63</v>
      </c>
      <c r="R3" s="2" t="s">
        <v>64</v>
      </c>
      <c r="S3" s="2" t="s">
        <v>64</v>
      </c>
      <c r="T3" s="2" t="s">
        <v>63</v>
      </c>
      <c r="U3" s="2" t="s">
        <v>63</v>
      </c>
    </row>
    <row r="4" customFormat="false" ht="15" hidden="false" customHeight="false" outlineLevel="0" collapsed="false">
      <c r="A4" s="11" t="s">
        <v>65</v>
      </c>
      <c r="B4" s="11" t="s">
        <v>66</v>
      </c>
      <c r="C4" s="11" t="s">
        <v>67</v>
      </c>
      <c r="D4" s="11" t="s">
        <v>68</v>
      </c>
      <c r="E4" s="11" t="s">
        <v>69</v>
      </c>
      <c r="F4" s="11" t="s">
        <v>70</v>
      </c>
      <c r="G4" s="12"/>
      <c r="H4" s="11"/>
      <c r="I4" s="12"/>
      <c r="J4" s="13" t="n">
        <v>391571974.601996</v>
      </c>
      <c r="K4" s="13" t="n">
        <v>380669078.18226</v>
      </c>
      <c r="L4" s="13" t="n">
        <v>130</v>
      </c>
      <c r="M4" s="13" t="n">
        <v>64</v>
      </c>
      <c r="N4" s="11" t="s">
        <v>71</v>
      </c>
      <c r="O4" s="14" t="n">
        <f aca="false">L4-M4</f>
        <v>66</v>
      </c>
      <c r="P4" s="11" t="s">
        <v>70</v>
      </c>
      <c r="Q4" s="11" t="s">
        <v>72</v>
      </c>
      <c r="R4" s="15" t="n">
        <v>0.27</v>
      </c>
      <c r="S4" s="15" t="n">
        <v>0.248</v>
      </c>
      <c r="T4" s="14" t="n">
        <f aca="false">SUMIF('EPA facilities'!$A$2:$A$600,$A4,'EPA facilities'!$G$2:$G$600)</f>
        <v>391571974.601996</v>
      </c>
      <c r="U4" s="16" t="n">
        <f aca="false">IFERROR(ROUND(T4-J4,1),"n/a")</f>
        <v>0</v>
      </c>
      <c r="V4" s="11" t="s">
        <v>73</v>
      </c>
    </row>
    <row r="5" customFormat="false" ht="15" hidden="false" customHeight="false" outlineLevel="0" collapsed="false">
      <c r="A5" s="17" t="s">
        <v>74</v>
      </c>
      <c r="B5" s="17" t="s">
        <v>75</v>
      </c>
      <c r="C5" s="17" t="s">
        <v>67</v>
      </c>
      <c r="D5" s="17" t="s">
        <v>76</v>
      </c>
      <c r="E5" s="17" t="s">
        <v>77</v>
      </c>
      <c r="F5" s="17" t="s">
        <v>70</v>
      </c>
      <c r="G5" s="18" t="n">
        <v>196913000000</v>
      </c>
      <c r="H5" s="17" t="s">
        <v>78</v>
      </c>
      <c r="I5" s="19"/>
      <c r="J5" s="20" t="n">
        <v>206551725.531374</v>
      </c>
      <c r="K5" s="20" t="n">
        <v>199098789.282563</v>
      </c>
      <c r="L5" s="20" t="n">
        <v>92</v>
      </c>
      <c r="M5" s="20" t="n">
        <v>55</v>
      </c>
      <c r="N5" s="17" t="s">
        <v>79</v>
      </c>
      <c r="O5" s="21" t="n">
        <f aca="false">L5-M5</f>
        <v>37</v>
      </c>
      <c r="P5" s="17" t="s">
        <v>70</v>
      </c>
      <c r="Q5" s="17" t="s">
        <v>72</v>
      </c>
      <c r="R5" s="22" t="n">
        <v>0.27</v>
      </c>
      <c r="S5" s="22" t="n">
        <v>0.248</v>
      </c>
      <c r="T5" s="21" t="n">
        <f aca="false">SUMIF('EPA facilities'!$A$2:$A$600,$A5,'EPA facilities'!$G$2:$G$600)</f>
        <v>206551725.531374</v>
      </c>
      <c r="U5" s="23" t="n">
        <f aca="false">IFERROR(ROUND(T5-J5,1),"n/a")</f>
        <v>0</v>
      </c>
      <c r="V5" s="17" t="s">
        <v>80</v>
      </c>
    </row>
    <row r="6" customFormat="false" ht="15" hidden="false" customHeight="false" outlineLevel="0" collapsed="false">
      <c r="A6" s="17" t="s">
        <v>81</v>
      </c>
      <c r="B6" s="17" t="s">
        <v>82</v>
      </c>
      <c r="C6" s="17" t="s">
        <v>67</v>
      </c>
      <c r="D6" s="17" t="s">
        <v>83</v>
      </c>
      <c r="E6" s="17" t="s">
        <v>84</v>
      </c>
      <c r="F6" s="17" t="s">
        <v>85</v>
      </c>
      <c r="G6" s="18" t="n">
        <v>17677000000</v>
      </c>
      <c r="H6" s="17" t="s">
        <v>78</v>
      </c>
      <c r="I6" s="19"/>
      <c r="J6" s="20" t="n">
        <v>84364928.356</v>
      </c>
      <c r="K6" s="20" t="n">
        <v>75252960.7306</v>
      </c>
      <c r="L6" s="20" t="n">
        <v>56</v>
      </c>
      <c r="M6" s="20" t="n">
        <v>39</v>
      </c>
      <c r="N6" s="17" t="s">
        <v>82</v>
      </c>
      <c r="O6" s="21" t="n">
        <f aca="false">L6-M6</f>
        <v>17</v>
      </c>
      <c r="P6" s="17" t="s">
        <v>85</v>
      </c>
      <c r="Q6" s="17" t="s">
        <v>86</v>
      </c>
      <c r="R6" s="22" t="n">
        <v>1.619</v>
      </c>
      <c r="S6" s="22" t="n">
        <v>1.619</v>
      </c>
      <c r="T6" s="21" t="n">
        <f aca="false">SUMIF('EPA facilities'!$A$2:$A$600,$A6,'EPA facilities'!$G$2:$G$600)</f>
        <v>84364928.356</v>
      </c>
      <c r="U6" s="23" t="n">
        <f aca="false">IFERROR(ROUND(T6-J6,1),"n/a")</f>
        <v>0</v>
      </c>
      <c r="V6" s="17" t="s">
        <v>87</v>
      </c>
    </row>
    <row r="7" customFormat="false" ht="15" hidden="false" customHeight="false" outlineLevel="0" collapsed="false">
      <c r="A7" s="17" t="s">
        <v>88</v>
      </c>
      <c r="B7" s="17" t="s">
        <v>89</v>
      </c>
      <c r="C7" s="17" t="s">
        <v>90</v>
      </c>
      <c r="D7" s="17" t="s">
        <v>91</v>
      </c>
      <c r="E7" s="17" t="s">
        <v>92</v>
      </c>
      <c r="F7" s="17" t="s">
        <v>93</v>
      </c>
      <c r="G7" s="18" t="n">
        <v>34714000000</v>
      </c>
      <c r="H7" s="17" t="s">
        <v>78</v>
      </c>
      <c r="I7" s="19"/>
      <c r="J7" s="20" t="n">
        <v>5761770.626</v>
      </c>
      <c r="K7" s="20" t="n">
        <v>5497406.23368</v>
      </c>
      <c r="L7" s="20" t="n">
        <v>26</v>
      </c>
      <c r="M7" s="20" t="n">
        <v>26</v>
      </c>
      <c r="N7" s="17" t="s">
        <v>94</v>
      </c>
      <c r="O7" s="21" t="n">
        <f aca="false">L7-M7</f>
        <v>0</v>
      </c>
      <c r="P7" s="17" t="s">
        <v>93</v>
      </c>
      <c r="Q7" s="17" t="s">
        <v>95</v>
      </c>
      <c r="R7" s="22" t="n">
        <v>0.787</v>
      </c>
      <c r="S7" s="22" t="n">
        <v>0.769</v>
      </c>
      <c r="T7" s="21" t="n">
        <f aca="false">SUMIF('EPA facilities'!$A$2:$A$600,$A7,'EPA facilities'!$G$2:$G$600)</f>
        <v>5761770.626</v>
      </c>
      <c r="U7" s="23" t="n">
        <f aca="false">IFERROR(ROUND(T7-J7,1),"n/a")</f>
        <v>0</v>
      </c>
      <c r="V7" s="17" t="s">
        <v>96</v>
      </c>
    </row>
    <row r="8" customFormat="false" ht="15" hidden="false" customHeight="false" outlineLevel="0" collapsed="false">
      <c r="A8" s="17" t="s">
        <v>97</v>
      </c>
      <c r="B8" s="17" t="s">
        <v>98</v>
      </c>
      <c r="C8" s="17" t="s">
        <v>90</v>
      </c>
      <c r="D8" s="17" t="s">
        <v>99</v>
      </c>
      <c r="E8" s="17" t="s">
        <v>100</v>
      </c>
      <c r="F8" s="17" t="s">
        <v>101</v>
      </c>
      <c r="G8" s="18" t="n">
        <v>44622000000</v>
      </c>
      <c r="H8" s="17" t="s">
        <v>102</v>
      </c>
      <c r="I8" s="19"/>
      <c r="J8" s="21"/>
      <c r="K8" s="21"/>
      <c r="L8" s="20" t="n">
        <v>1</v>
      </c>
      <c r="M8" s="20" t="n">
        <v>0</v>
      </c>
      <c r="N8" s="17" t="s">
        <v>103</v>
      </c>
      <c r="O8" s="21" t="n">
        <f aca="false">L8-M8</f>
        <v>1</v>
      </c>
      <c r="P8" s="17" t="s">
        <v>101</v>
      </c>
      <c r="Q8" s="17" t="s">
        <v>104</v>
      </c>
      <c r="R8" s="22" t="n">
        <v>0.811</v>
      </c>
      <c r="S8" s="22" t="n">
        <v>0.794</v>
      </c>
      <c r="T8" s="21" t="n">
        <f aca="false">SUMIF('EPA facilities'!$A$2:$A$600,$A8,'EPA facilities'!$G$2:$G$600)</f>
        <v>0</v>
      </c>
      <c r="U8" s="23" t="n">
        <f aca="false">IFERROR(ROUND(T8-J8,1),"n/a")</f>
        <v>0</v>
      </c>
      <c r="V8" s="17" t="s">
        <v>105</v>
      </c>
    </row>
    <row r="9" customFormat="false" ht="15" hidden="false" customHeight="false" outlineLevel="0" collapsed="false">
      <c r="A9" s="17" t="s">
        <v>106</v>
      </c>
      <c r="B9" s="17" t="s">
        <v>107</v>
      </c>
      <c r="C9" s="17" t="s">
        <v>90</v>
      </c>
      <c r="D9" s="17" t="s">
        <v>108</v>
      </c>
      <c r="E9" s="17" t="s">
        <v>109</v>
      </c>
      <c r="F9" s="17" t="s">
        <v>110</v>
      </c>
      <c r="G9" s="18" t="n">
        <v>23051900000</v>
      </c>
      <c r="H9" s="17" t="s">
        <v>78</v>
      </c>
      <c r="I9" s="19"/>
      <c r="J9" s="21"/>
      <c r="K9" s="21"/>
      <c r="L9" s="20" t="n">
        <v>1</v>
      </c>
      <c r="M9" s="20" t="n">
        <v>0</v>
      </c>
      <c r="N9" s="17" t="s">
        <v>111</v>
      </c>
      <c r="O9" s="21" t="n">
        <f aca="false">L9-M9</f>
        <v>1</v>
      </c>
      <c r="P9" s="17" t="s">
        <v>110</v>
      </c>
      <c r="Q9" s="17" t="s">
        <v>112</v>
      </c>
      <c r="R9" s="22" t="n">
        <v>0.291</v>
      </c>
      <c r="S9" s="22" t="n">
        <v>0.264</v>
      </c>
      <c r="T9" s="21" t="n">
        <f aca="false">SUMIF('EPA facilities'!$A$2:$A$600,$A9,'EPA facilities'!$G$2:$G$600)</f>
        <v>0</v>
      </c>
      <c r="U9" s="23" t="n">
        <f aca="false">IFERROR(ROUND(T9-J9,1),"n/a")</f>
        <v>0</v>
      </c>
      <c r="V9" s="17" t="s">
        <v>113</v>
      </c>
    </row>
    <row r="10" customFormat="false" ht="15" hidden="false" customHeight="false" outlineLevel="0" collapsed="false">
      <c r="A10" s="17" t="s">
        <v>114</v>
      </c>
      <c r="B10" s="17" t="s">
        <v>115</v>
      </c>
      <c r="C10" s="17" t="s">
        <v>116</v>
      </c>
      <c r="D10" s="17" t="s">
        <v>117</v>
      </c>
      <c r="E10" s="17" t="s">
        <v>118</v>
      </c>
      <c r="F10" s="17" t="s">
        <v>119</v>
      </c>
      <c r="G10" s="18" t="n">
        <v>24119000000</v>
      </c>
      <c r="H10" s="17" t="s">
        <v>78</v>
      </c>
      <c r="I10" s="19"/>
      <c r="J10" s="21"/>
      <c r="K10" s="21"/>
      <c r="L10" s="20" t="n">
        <v>0</v>
      </c>
      <c r="M10" s="20" t="n">
        <v>0</v>
      </c>
      <c r="N10" s="17" t="s">
        <v>120</v>
      </c>
      <c r="O10" s="21" t="n">
        <f aca="false">L10-M10</f>
        <v>0</v>
      </c>
      <c r="P10" s="17" t="s">
        <v>119</v>
      </c>
      <c r="Q10" s="17" t="s">
        <v>121</v>
      </c>
      <c r="R10" s="22" t="n">
        <v>0.466</v>
      </c>
      <c r="S10" s="22" t="n">
        <v>0.466</v>
      </c>
      <c r="T10" s="21" t="n">
        <f aca="false">SUMIF('EPA facilities'!$A$2:$A$600,$A10,'EPA facilities'!$G$2:$G$600)</f>
        <v>0</v>
      </c>
      <c r="U10" s="23" t="n">
        <f aca="false">IFERROR(ROUND(T10-J10,1),"n/a")</f>
        <v>0</v>
      </c>
      <c r="V10" s="17" t="s">
        <v>122</v>
      </c>
    </row>
    <row r="11" customFormat="false" ht="15" hidden="false" customHeight="false" outlineLevel="0" collapsed="false">
      <c r="A11" s="17" t="s">
        <v>123</v>
      </c>
      <c r="B11" s="17" t="s">
        <v>124</v>
      </c>
      <c r="C11" s="17" t="s">
        <v>116</v>
      </c>
      <c r="D11" s="17" t="s">
        <v>125</v>
      </c>
      <c r="E11" s="17" t="s">
        <v>126</v>
      </c>
      <c r="F11" s="17" t="s">
        <v>127</v>
      </c>
      <c r="G11" s="18" t="n">
        <v>67060000000</v>
      </c>
      <c r="H11" s="17" t="s">
        <v>102</v>
      </c>
      <c r="I11" s="19"/>
      <c r="J11" s="20" t="n">
        <v>456901.738</v>
      </c>
      <c r="K11" s="20" t="n">
        <v>456901.738</v>
      </c>
      <c r="L11" s="20" t="n">
        <v>8</v>
      </c>
      <c r="M11" s="20" t="n">
        <v>7</v>
      </c>
      <c r="N11" s="17" t="s">
        <v>128</v>
      </c>
      <c r="O11" s="21" t="n">
        <f aca="false">L11-M11</f>
        <v>1</v>
      </c>
      <c r="P11" s="17" t="s">
        <v>127</v>
      </c>
      <c r="Q11" s="17" t="s">
        <v>129</v>
      </c>
      <c r="R11" s="22" t="n">
        <v>0.228</v>
      </c>
      <c r="S11" s="22" t="n">
        <v>0.201</v>
      </c>
      <c r="T11" s="21" t="n">
        <f aca="false">SUMIF('EPA facilities'!$A$2:$A$600,$A11,'EPA facilities'!$G$2:$G$600)</f>
        <v>456901.738</v>
      </c>
      <c r="U11" s="23" t="n">
        <f aca="false">IFERROR(ROUND(T11-J11,1),"n/a")</f>
        <v>0</v>
      </c>
      <c r="V11" s="17" t="s">
        <v>130</v>
      </c>
    </row>
    <row r="12" customFormat="false" ht="15" hidden="false" customHeight="false" outlineLevel="0" collapsed="false">
      <c r="A12" s="17" t="s">
        <v>131</v>
      </c>
      <c r="B12" s="17" t="s">
        <v>132</v>
      </c>
      <c r="C12" s="17" t="s">
        <v>116</v>
      </c>
      <c r="D12" s="17" t="s">
        <v>133</v>
      </c>
      <c r="E12" s="17" t="s">
        <v>134</v>
      </c>
      <c r="F12" s="17" t="s">
        <v>135</v>
      </c>
      <c r="G12" s="18" t="n">
        <v>61251000000</v>
      </c>
      <c r="H12" s="17" t="s">
        <v>102</v>
      </c>
      <c r="I12" s="19"/>
      <c r="J12" s="20" t="n">
        <v>45075.88</v>
      </c>
      <c r="K12" s="20" t="n">
        <v>45075.88</v>
      </c>
      <c r="L12" s="20" t="n">
        <v>3</v>
      </c>
      <c r="M12" s="20" t="n">
        <v>1</v>
      </c>
      <c r="N12" s="17" t="s">
        <v>136</v>
      </c>
      <c r="O12" s="21" t="n">
        <f aca="false">L12-M12</f>
        <v>2</v>
      </c>
      <c r="P12" s="17" t="s">
        <v>135</v>
      </c>
      <c r="Q12" s="17" t="s">
        <v>137</v>
      </c>
      <c r="R12" s="22" t="n">
        <v>0.22</v>
      </c>
      <c r="S12" s="22" t="n">
        <v>0.191</v>
      </c>
      <c r="T12" s="21" t="n">
        <f aca="false">SUMIF('EPA facilities'!$A$2:$A$600,$A12,'EPA facilities'!$G$2:$G$600)</f>
        <v>45075.88</v>
      </c>
      <c r="U12" s="23" t="n">
        <f aca="false">IFERROR(ROUND(T12-J12,1),"n/a")</f>
        <v>0</v>
      </c>
      <c r="V12" s="17" t="s">
        <v>130</v>
      </c>
    </row>
    <row r="13" customFormat="false" ht="15" hidden="false" customHeight="false" outlineLevel="0" collapsed="false">
      <c r="A13" s="17" t="s">
        <v>138</v>
      </c>
      <c r="B13" s="17" t="s">
        <v>139</v>
      </c>
      <c r="C13" s="17" t="s">
        <v>140</v>
      </c>
      <c r="D13" s="17" t="s">
        <v>141</v>
      </c>
      <c r="E13" s="17" t="s">
        <v>142</v>
      </c>
      <c r="F13" s="17" t="s">
        <v>143</v>
      </c>
      <c r="G13" s="18" t="n">
        <v>176191000000</v>
      </c>
      <c r="H13" s="17" t="s">
        <v>78</v>
      </c>
      <c r="I13" s="19"/>
      <c r="J13" s="20" t="n">
        <v>497625.124</v>
      </c>
      <c r="K13" s="20" t="n">
        <v>497625.124</v>
      </c>
      <c r="L13" s="20" t="n">
        <v>15</v>
      </c>
      <c r="M13" s="20" t="n">
        <v>10</v>
      </c>
      <c r="N13" s="17" t="s">
        <v>144</v>
      </c>
      <c r="O13" s="21" t="n">
        <f aca="false">L13-M13</f>
        <v>5</v>
      </c>
      <c r="P13" s="17" t="s">
        <v>143</v>
      </c>
      <c r="Q13" s="17" t="s">
        <v>145</v>
      </c>
      <c r="R13" s="22" t="n">
        <v>0.24</v>
      </c>
      <c r="S13" s="22" t="n">
        <v>0.19</v>
      </c>
      <c r="T13" s="21" t="n">
        <f aca="false">SUMIF('EPA facilities'!$A$2:$A$600,$A13,'EPA facilities'!$G$2:$G$600)</f>
        <v>497625.124</v>
      </c>
      <c r="U13" s="23" t="n">
        <f aca="false">IFERROR(ROUND(T13-J13,1),"n/a")</f>
        <v>0</v>
      </c>
      <c r="V13" s="17" t="s">
        <v>146</v>
      </c>
    </row>
    <row r="14" customFormat="false" ht="15" hidden="false" customHeight="false" outlineLevel="0" collapsed="false">
      <c r="A14" s="17" t="s">
        <v>147</v>
      </c>
      <c r="B14" s="17" t="s">
        <v>148</v>
      </c>
      <c r="C14" s="17" t="s">
        <v>140</v>
      </c>
      <c r="D14" s="17" t="s">
        <v>149</v>
      </c>
      <c r="E14" s="17" t="s">
        <v>150</v>
      </c>
      <c r="F14" s="17" t="s">
        <v>143</v>
      </c>
      <c r="G14" s="18" t="n">
        <v>157658000000</v>
      </c>
      <c r="H14" s="17" t="s">
        <v>78</v>
      </c>
      <c r="I14" s="19"/>
      <c r="J14" s="20" t="n">
        <v>598855.552</v>
      </c>
      <c r="K14" s="20" t="n">
        <v>598855.552</v>
      </c>
      <c r="L14" s="20" t="n">
        <v>18</v>
      </c>
      <c r="M14" s="20" t="n">
        <v>14</v>
      </c>
      <c r="N14" s="17" t="s">
        <v>151</v>
      </c>
      <c r="O14" s="21" t="n">
        <f aca="false">L14-M14</f>
        <v>4</v>
      </c>
      <c r="P14" s="17" t="s">
        <v>143</v>
      </c>
      <c r="Q14" s="17" t="s">
        <v>145</v>
      </c>
      <c r="R14" s="22" t="n">
        <v>0.24</v>
      </c>
      <c r="S14" s="22" t="n">
        <v>0.19</v>
      </c>
      <c r="T14" s="21" t="n">
        <f aca="false">SUMIF('EPA facilities'!$A$2:$A$600,$A14,'EPA facilities'!$G$2:$G$600)</f>
        <v>598855.552</v>
      </c>
      <c r="U14" s="23" t="n">
        <f aca="false">IFERROR(ROUND(T14-J14,1),"n/a")</f>
        <v>0</v>
      </c>
      <c r="V14" s="17" t="s">
        <v>152</v>
      </c>
    </row>
    <row r="15" customFormat="false" ht="15" hidden="false" customHeight="false" outlineLevel="0" collapsed="false">
      <c r="A15" s="17" t="s">
        <v>153</v>
      </c>
      <c r="B15" s="17" t="s">
        <v>154</v>
      </c>
      <c r="C15" s="17" t="s">
        <v>140</v>
      </c>
      <c r="D15" s="17" t="s">
        <v>155</v>
      </c>
      <c r="E15" s="17" t="s">
        <v>156</v>
      </c>
      <c r="F15" s="17" t="s">
        <v>157</v>
      </c>
      <c r="G15" s="18" t="n">
        <v>574785000000</v>
      </c>
      <c r="H15" s="17" t="s">
        <v>78</v>
      </c>
      <c r="I15" s="19"/>
      <c r="J15" s="21"/>
      <c r="K15" s="21"/>
      <c r="L15" s="20" t="n">
        <v>0</v>
      </c>
      <c r="M15" s="20" t="n">
        <v>0</v>
      </c>
      <c r="N15" s="17" t="s">
        <v>158</v>
      </c>
      <c r="O15" s="21" t="n">
        <f aca="false">L15-M15</f>
        <v>0</v>
      </c>
      <c r="P15" s="17" t="s">
        <v>157</v>
      </c>
      <c r="Q15" s="17" t="s">
        <v>159</v>
      </c>
      <c r="R15" s="22" t="n">
        <v>0.094</v>
      </c>
      <c r="S15" s="22" t="n">
        <v>0.094</v>
      </c>
      <c r="T15" s="21" t="n">
        <f aca="false">SUMIF('EPA facilities'!$A$2:$A$600,$A15,'EPA facilities'!$G$2:$G$600)</f>
        <v>0</v>
      </c>
      <c r="U15" s="23" t="n">
        <f aca="false">IFERROR(ROUND(T15-J15,1),"n/a")</f>
        <v>0</v>
      </c>
      <c r="V15" s="17" t="s">
        <v>160</v>
      </c>
    </row>
    <row r="16" customFormat="false" ht="15" hidden="false" customHeight="false" outlineLevel="0" collapsed="false">
      <c r="A16" s="17" t="s">
        <v>161</v>
      </c>
      <c r="B16" s="17" t="s">
        <v>162</v>
      </c>
      <c r="C16" s="17" t="s">
        <v>163</v>
      </c>
      <c r="D16" s="17" t="s">
        <v>164</v>
      </c>
      <c r="E16" s="17" t="s">
        <v>165</v>
      </c>
      <c r="F16" s="17" t="s">
        <v>166</v>
      </c>
      <c r="G16" s="18" t="n">
        <v>642637000000</v>
      </c>
      <c r="H16" s="17" t="s">
        <v>78</v>
      </c>
      <c r="I16" s="19"/>
      <c r="J16" s="21"/>
      <c r="K16" s="21"/>
      <c r="L16" s="20" t="n">
        <v>1</v>
      </c>
      <c r="M16" s="20" t="n">
        <v>0</v>
      </c>
      <c r="N16" s="17" t="s">
        <v>167</v>
      </c>
      <c r="O16" s="21" t="n">
        <f aca="false">L16-M16</f>
        <v>1</v>
      </c>
      <c r="P16" s="17" t="s">
        <v>166</v>
      </c>
      <c r="Q16" s="17" t="s">
        <v>168</v>
      </c>
      <c r="R16" s="22" t="n">
        <v>0.164</v>
      </c>
      <c r="S16" s="22" t="n">
        <v>0.164</v>
      </c>
      <c r="T16" s="21" t="n">
        <f aca="false">SUMIF('EPA facilities'!$A$2:$A$600,$A16,'EPA facilities'!$G$2:$G$600)</f>
        <v>0</v>
      </c>
      <c r="U16" s="23" t="n">
        <f aca="false">IFERROR(ROUND(T16-J16,1),"n/a")</f>
        <v>0</v>
      </c>
      <c r="V16" s="17" t="s">
        <v>169</v>
      </c>
    </row>
    <row r="17" customFormat="false" ht="15" hidden="false" customHeight="false" outlineLevel="0" collapsed="false">
      <c r="A17" s="17" t="s">
        <v>170</v>
      </c>
      <c r="B17" s="17" t="s">
        <v>171</v>
      </c>
      <c r="C17" s="17" t="s">
        <v>163</v>
      </c>
      <c r="D17" s="17" t="s">
        <v>172</v>
      </c>
      <c r="E17" s="17" t="s">
        <v>173</v>
      </c>
      <c r="F17" s="17" t="s">
        <v>174</v>
      </c>
      <c r="G17" s="18" t="n">
        <v>82006000000</v>
      </c>
      <c r="H17" s="17" t="s">
        <v>102</v>
      </c>
      <c r="I17" s="19"/>
      <c r="J17" s="20" t="n">
        <v>1692217.844</v>
      </c>
      <c r="K17" s="20" t="n">
        <v>1676670.236144</v>
      </c>
      <c r="L17" s="20" t="n">
        <v>10</v>
      </c>
      <c r="M17" s="20" t="n">
        <v>10</v>
      </c>
      <c r="N17" s="17" t="s">
        <v>175</v>
      </c>
      <c r="O17" s="21" t="n">
        <f aca="false">L17-M17</f>
        <v>0</v>
      </c>
      <c r="P17" s="17"/>
      <c r="Q17" s="17"/>
      <c r="R17" s="24"/>
      <c r="S17" s="24"/>
      <c r="T17" s="21" t="n">
        <f aca="false">SUMIF('EPA facilities'!$A$2:$A$600,$A17,'EPA facilities'!$G$2:$G$600)</f>
        <v>1692217.844</v>
      </c>
      <c r="U17" s="23" t="n">
        <f aca="false">IFERROR(ROUND(T17-J17,1),"n/a")</f>
        <v>0</v>
      </c>
      <c r="V17" s="17" t="s">
        <v>176</v>
      </c>
    </row>
    <row r="18" customFormat="false" ht="15" hidden="false" customHeight="false" outlineLevel="0" collapsed="false">
      <c r="A18" s="17" t="s">
        <v>177</v>
      </c>
      <c r="B18" s="17" t="s">
        <v>178</v>
      </c>
      <c r="C18" s="17" t="s">
        <v>163</v>
      </c>
      <c r="D18" s="17" t="s">
        <v>179</v>
      </c>
      <c r="E18" s="17" t="s">
        <v>180</v>
      </c>
      <c r="F18" s="17" t="s">
        <v>181</v>
      </c>
      <c r="G18" s="18" t="n">
        <v>45754000000</v>
      </c>
      <c r="H18" s="17" t="s">
        <v>102</v>
      </c>
      <c r="I18" s="19"/>
      <c r="J18" s="21"/>
      <c r="K18" s="21"/>
      <c r="L18" s="20" t="n">
        <v>0</v>
      </c>
      <c r="M18" s="20" t="n">
        <v>0</v>
      </c>
      <c r="N18" s="17" t="s">
        <v>182</v>
      </c>
      <c r="O18" s="21" t="n">
        <f aca="false">L18-M18</f>
        <v>0</v>
      </c>
      <c r="P18" s="17" t="s">
        <v>181</v>
      </c>
      <c r="Q18" s="17" t="s">
        <v>183</v>
      </c>
      <c r="R18" s="22" t="n">
        <v>0.214</v>
      </c>
      <c r="S18" s="22" t="n">
        <v>0.173</v>
      </c>
      <c r="T18" s="21" t="n">
        <f aca="false">SUMIF('EPA facilities'!$A$2:$A$600,$A18,'EPA facilities'!$G$2:$G$600)</f>
        <v>0</v>
      </c>
      <c r="U18" s="23" t="n">
        <f aca="false">IFERROR(ROUND(T18-J18,1),"n/a")</f>
        <v>0</v>
      </c>
      <c r="V18" s="17" t="s">
        <v>184</v>
      </c>
    </row>
    <row r="19" customFormat="false" ht="15" hidden="false" customHeight="false" outlineLevel="0" collapsed="false">
      <c r="A19" s="17" t="s">
        <v>185</v>
      </c>
      <c r="B19" s="17" t="s">
        <v>186</v>
      </c>
      <c r="C19" s="17" t="s">
        <v>187</v>
      </c>
      <c r="D19" s="17" t="s">
        <v>188</v>
      </c>
      <c r="E19" s="17" t="s">
        <v>189</v>
      </c>
      <c r="F19" s="17" t="s">
        <v>190</v>
      </c>
      <c r="G19" s="18" t="n">
        <v>34124000000</v>
      </c>
      <c r="H19" s="17" t="s">
        <v>102</v>
      </c>
      <c r="I19" s="19"/>
      <c r="J19" s="20" t="n">
        <v>47574.076</v>
      </c>
      <c r="K19" s="20" t="n">
        <v>47574.076</v>
      </c>
      <c r="L19" s="20" t="n">
        <v>1</v>
      </c>
      <c r="M19" s="20" t="n">
        <v>1</v>
      </c>
      <c r="N19" s="17" t="s">
        <v>191</v>
      </c>
      <c r="O19" s="21" t="n">
        <f aca="false">L19-M19</f>
        <v>0</v>
      </c>
      <c r="P19" s="17" t="s">
        <v>190</v>
      </c>
      <c r="Q19" s="17" t="s">
        <v>192</v>
      </c>
      <c r="R19" s="22" t="n">
        <v>0.099</v>
      </c>
      <c r="S19" s="22" t="n">
        <v>0.045</v>
      </c>
      <c r="T19" s="21" t="n">
        <f aca="false">SUMIF('EPA facilities'!$A$2:$A$600,$A19,'EPA facilities'!$G$2:$G$600)</f>
        <v>47574.076</v>
      </c>
      <c r="U19" s="23" t="n">
        <f aca="false">IFERROR(ROUND(T19-J19,1),"n/a")</f>
        <v>0</v>
      </c>
      <c r="V19" s="17" t="s">
        <v>193</v>
      </c>
    </row>
    <row r="20" customFormat="false" ht="15" hidden="false" customHeight="false" outlineLevel="0" collapsed="false">
      <c r="A20" s="17" t="s">
        <v>194</v>
      </c>
      <c r="B20" s="17" t="s">
        <v>195</v>
      </c>
      <c r="C20" s="17" t="s">
        <v>187</v>
      </c>
      <c r="D20" s="17" t="s">
        <v>196</v>
      </c>
      <c r="E20" s="17" t="s">
        <v>197</v>
      </c>
      <c r="F20" s="17" t="s">
        <v>198</v>
      </c>
      <c r="G20" s="18" t="n">
        <v>371622000000</v>
      </c>
      <c r="H20" s="17" t="s">
        <v>102</v>
      </c>
      <c r="I20" s="19"/>
      <c r="J20" s="21"/>
      <c r="K20" s="21"/>
      <c r="L20" s="20" t="n">
        <v>0</v>
      </c>
      <c r="M20" s="20" t="n">
        <v>0</v>
      </c>
      <c r="N20" s="17" t="s">
        <v>199</v>
      </c>
      <c r="O20" s="21" t="n">
        <f aca="false">L20-M20</f>
        <v>0</v>
      </c>
      <c r="P20" s="17" t="s">
        <v>198</v>
      </c>
      <c r="Q20" s="17" t="s">
        <v>200</v>
      </c>
      <c r="R20" s="22" t="n">
        <v>0.033</v>
      </c>
      <c r="S20" s="22" t="n">
        <v>0.033</v>
      </c>
      <c r="T20" s="21" t="n">
        <f aca="false">SUMIF('EPA facilities'!$A$2:$A$600,$A20,'EPA facilities'!$G$2:$G$600)</f>
        <v>0</v>
      </c>
      <c r="U20" s="23" t="n">
        <f aca="false">IFERROR(ROUND(T20-J20,1),"n/a")</f>
        <v>0</v>
      </c>
      <c r="V20" s="17" t="s">
        <v>201</v>
      </c>
    </row>
    <row r="21" customFormat="false" ht="15" hidden="false" customHeight="false" outlineLevel="0" collapsed="false">
      <c r="A21" s="17" t="s">
        <v>202</v>
      </c>
      <c r="B21" s="17" t="s">
        <v>203</v>
      </c>
      <c r="C21" s="17" t="s">
        <v>187</v>
      </c>
      <c r="D21" s="17" t="s">
        <v>204</v>
      </c>
      <c r="E21" s="17" t="s">
        <v>205</v>
      </c>
      <c r="F21" s="17" t="s">
        <v>190</v>
      </c>
      <c r="G21" s="18" t="n">
        <v>85159000000</v>
      </c>
      <c r="H21" s="17" t="s">
        <v>78</v>
      </c>
      <c r="I21" s="19"/>
      <c r="J21" s="20" t="n">
        <v>165236.408</v>
      </c>
      <c r="K21" s="20" t="n">
        <v>105133.3959</v>
      </c>
      <c r="L21" s="20" t="n">
        <v>7</v>
      </c>
      <c r="M21" s="20" t="n">
        <v>4</v>
      </c>
      <c r="N21" s="17" t="s">
        <v>206</v>
      </c>
      <c r="O21" s="21" t="n">
        <f aca="false">L21-M21</f>
        <v>3</v>
      </c>
      <c r="P21" s="17" t="s">
        <v>190</v>
      </c>
      <c r="Q21" s="17" t="s">
        <v>192</v>
      </c>
      <c r="R21" s="22" t="n">
        <v>0.099</v>
      </c>
      <c r="S21" s="22" t="n">
        <v>0.045</v>
      </c>
      <c r="T21" s="21" t="n">
        <f aca="false">SUMIF('EPA facilities'!$A$2:$A$600,$A21,'EPA facilities'!$G$2:$G$600)</f>
        <v>165236.408</v>
      </c>
      <c r="U21" s="23" t="n">
        <f aca="false">IFERROR(ROUND(T21-J21,1),"n/a")</f>
        <v>0</v>
      </c>
      <c r="V21" s="17" t="s">
        <v>207</v>
      </c>
    </row>
    <row r="22" customFormat="false" ht="15" hidden="false" customHeight="false" outlineLevel="0" collapsed="false">
      <c r="A22" s="17" t="s">
        <v>208</v>
      </c>
      <c r="B22" s="17" t="s">
        <v>209</v>
      </c>
      <c r="C22" s="17" t="s">
        <v>210</v>
      </c>
      <c r="D22" s="17" t="s">
        <v>211</v>
      </c>
      <c r="E22" s="17" t="s">
        <v>212</v>
      </c>
      <c r="F22" s="17" t="s">
        <v>213</v>
      </c>
      <c r="G22" s="18" t="n">
        <v>158104000000</v>
      </c>
      <c r="H22" s="17" t="s">
        <v>102</v>
      </c>
      <c r="I22" s="19"/>
      <c r="J22" s="21"/>
      <c r="K22" s="21"/>
      <c r="L22" s="20" t="n">
        <v>1</v>
      </c>
      <c r="M22" s="20" t="n">
        <v>0</v>
      </c>
      <c r="N22" s="17" t="s">
        <v>214</v>
      </c>
      <c r="O22" s="21" t="n">
        <f aca="false">L22-M22</f>
        <v>1</v>
      </c>
      <c r="P22" s="17" t="s">
        <v>213</v>
      </c>
      <c r="Q22" s="17" t="s">
        <v>215</v>
      </c>
      <c r="R22" s="22" t="n">
        <v>0.059</v>
      </c>
      <c r="S22" s="22" t="n">
        <v>0.059</v>
      </c>
      <c r="T22" s="21" t="n">
        <f aca="false">SUMIF('EPA facilities'!$A$2:$A$600,$A22,'EPA facilities'!$G$2:$G$600)</f>
        <v>0</v>
      </c>
      <c r="U22" s="23" t="n">
        <f aca="false">IFERROR(ROUND(T22-J22,1),"n/a")</f>
        <v>0</v>
      </c>
      <c r="V22" s="17" t="s">
        <v>216</v>
      </c>
    </row>
    <row r="23" customFormat="false" ht="15" hidden="false" customHeight="false" outlineLevel="0" collapsed="false">
      <c r="A23" s="17" t="s">
        <v>217</v>
      </c>
      <c r="B23" s="17" t="s">
        <v>218</v>
      </c>
      <c r="C23" s="17" t="s">
        <v>210</v>
      </c>
      <c r="D23" s="17" t="s">
        <v>219</v>
      </c>
      <c r="E23" s="17" t="s">
        <v>220</v>
      </c>
      <c r="F23" s="17" t="s">
        <v>213</v>
      </c>
      <c r="G23" s="18" t="n">
        <v>102769000000</v>
      </c>
      <c r="H23" s="17" t="s">
        <v>102</v>
      </c>
      <c r="I23" s="19"/>
      <c r="J23" s="21"/>
      <c r="K23" s="21"/>
      <c r="L23" s="20" t="n">
        <v>0</v>
      </c>
      <c r="M23" s="20" t="n">
        <v>0</v>
      </c>
      <c r="N23" s="17" t="s">
        <v>221</v>
      </c>
      <c r="O23" s="21" t="n">
        <f aca="false">L23-M23</f>
        <v>0</v>
      </c>
      <c r="P23" s="17" t="s">
        <v>213</v>
      </c>
      <c r="Q23" s="17" t="s">
        <v>215</v>
      </c>
      <c r="R23" s="22" t="n">
        <v>0.059</v>
      </c>
      <c r="S23" s="22" t="n">
        <v>0.059</v>
      </c>
      <c r="T23" s="21" t="n">
        <f aca="false">SUMIF('EPA facilities'!$A$2:$A$600,$A23,'EPA facilities'!$G$2:$G$600)</f>
        <v>0</v>
      </c>
      <c r="U23" s="23" t="n">
        <f aca="false">IFERROR(ROUND(T23-J23,1),"n/a")</f>
        <v>0</v>
      </c>
      <c r="V23" s="17" t="s">
        <v>222</v>
      </c>
    </row>
    <row r="24" customFormat="false" ht="15" hidden="false" customHeight="false" outlineLevel="0" collapsed="false">
      <c r="A24" s="17" t="s">
        <v>223</v>
      </c>
      <c r="B24" s="17" t="s">
        <v>224</v>
      </c>
      <c r="C24" s="17" t="s">
        <v>210</v>
      </c>
      <c r="D24" s="17" t="s">
        <v>225</v>
      </c>
      <c r="E24" s="17" t="s">
        <v>226</v>
      </c>
      <c r="F24" s="17" t="s">
        <v>227</v>
      </c>
      <c r="G24" s="18" t="n">
        <v>46254000000</v>
      </c>
      <c r="H24" s="17" t="s">
        <v>228</v>
      </c>
      <c r="I24" s="19"/>
      <c r="J24" s="20" t="n">
        <v>52140.304</v>
      </c>
      <c r="K24" s="20" t="n">
        <v>15642.0912</v>
      </c>
      <c r="L24" s="20" t="n">
        <v>1</v>
      </c>
      <c r="M24" s="20" t="n">
        <v>1</v>
      </c>
      <c r="N24" s="17" t="s">
        <v>229</v>
      </c>
      <c r="O24" s="21" t="n">
        <f aca="false">L24-M24</f>
        <v>0</v>
      </c>
      <c r="P24" s="17" t="s">
        <v>227</v>
      </c>
      <c r="Q24" s="17" t="s">
        <v>230</v>
      </c>
      <c r="R24" s="22" t="n">
        <v>0.043</v>
      </c>
      <c r="S24" s="22" t="n">
        <v>0.043</v>
      </c>
      <c r="T24" s="21" t="n">
        <f aca="false">SUMIF('EPA facilities'!$A$2:$A$600,$A24,'EPA facilities'!$G$2:$G$600)</f>
        <v>52140.304</v>
      </c>
      <c r="U24" s="23" t="n">
        <f aca="false">IFERROR(ROUND(T24-J24,1),"n/a")</f>
        <v>0</v>
      </c>
      <c r="V24" s="17" t="s">
        <v>231</v>
      </c>
    </row>
    <row r="25" customFormat="false" ht="15" hidden="false" customHeight="false" outlineLevel="0" collapsed="false">
      <c r="A25" s="17" t="s">
        <v>232</v>
      </c>
      <c r="B25" s="17" t="s">
        <v>233</v>
      </c>
      <c r="C25" s="17" t="s">
        <v>234</v>
      </c>
      <c r="D25" s="17" t="s">
        <v>235</v>
      </c>
      <c r="E25" s="17" t="s">
        <v>236</v>
      </c>
      <c r="F25" s="17" t="s">
        <v>237</v>
      </c>
      <c r="G25" s="18" t="n">
        <v>383285000000</v>
      </c>
      <c r="H25" s="17" t="s">
        <v>78</v>
      </c>
      <c r="I25" s="19"/>
      <c r="J25" s="20" t="n">
        <v>11059249.782</v>
      </c>
      <c r="K25" s="20" t="n">
        <v>11059249.782</v>
      </c>
      <c r="L25" s="20" t="n">
        <v>3</v>
      </c>
      <c r="M25" s="20" t="n">
        <v>3</v>
      </c>
      <c r="N25" s="17" t="s">
        <v>238</v>
      </c>
      <c r="O25" s="21" t="n">
        <f aca="false">L25-M25</f>
        <v>0</v>
      </c>
      <c r="P25" s="17" t="s">
        <v>237</v>
      </c>
      <c r="Q25" s="17" t="s">
        <v>239</v>
      </c>
      <c r="R25" s="22" t="n">
        <v>0.111</v>
      </c>
      <c r="S25" s="22" t="n">
        <v>0.065</v>
      </c>
      <c r="T25" s="21" t="n">
        <f aca="false">SUMIF('EPA facilities'!$A$2:$A$600,$A25,'EPA facilities'!$G$2:$G$600)</f>
        <v>11059249.782</v>
      </c>
      <c r="U25" s="23" t="n">
        <f aca="false">IFERROR(ROUND(T25-J25,1),"n/a")</f>
        <v>0</v>
      </c>
      <c r="V25" s="17" t="s">
        <v>240</v>
      </c>
    </row>
    <row r="26" customFormat="false" ht="15" hidden="false" customHeight="false" outlineLevel="0" collapsed="false">
      <c r="A26" s="17" t="s">
        <v>241</v>
      </c>
      <c r="B26" s="17" t="s">
        <v>242</v>
      </c>
      <c r="C26" s="17" t="s">
        <v>234</v>
      </c>
      <c r="D26" s="17" t="s">
        <v>243</v>
      </c>
      <c r="E26" s="17" t="s">
        <v>244</v>
      </c>
      <c r="F26" s="17" t="s">
        <v>245</v>
      </c>
      <c r="G26" s="18" t="n">
        <v>211915000000</v>
      </c>
      <c r="H26" s="17" t="s">
        <v>78</v>
      </c>
      <c r="I26" s="19"/>
      <c r="J26" s="21"/>
      <c r="K26" s="21"/>
      <c r="L26" s="20" t="n">
        <v>0</v>
      </c>
      <c r="M26" s="20" t="n">
        <v>0</v>
      </c>
      <c r="N26" s="17" t="s">
        <v>246</v>
      </c>
      <c r="O26" s="21" t="n">
        <f aca="false">L26-M26</f>
        <v>0</v>
      </c>
      <c r="P26" s="17"/>
      <c r="Q26" s="17"/>
      <c r="R26" s="24"/>
      <c r="S26" s="24"/>
      <c r="T26" s="21" t="n">
        <f aca="false">SUMIF('EPA facilities'!$A$2:$A$600,$A26,'EPA facilities'!$G$2:$G$600)</f>
        <v>0</v>
      </c>
      <c r="U26" s="23" t="n">
        <f aca="false">IFERROR(ROUND(T26-J26,1),"n/a")</f>
        <v>0</v>
      </c>
      <c r="V26" s="17" t="s">
        <v>247</v>
      </c>
    </row>
    <row r="27" customFormat="false" ht="15" hidden="false" customHeight="false" outlineLevel="0" collapsed="false">
      <c r="A27" s="17" t="s">
        <v>248</v>
      </c>
      <c r="B27" s="17" t="s">
        <v>249</v>
      </c>
      <c r="C27" s="17" t="s">
        <v>234</v>
      </c>
      <c r="D27" s="17" t="s">
        <v>250</v>
      </c>
      <c r="E27" s="17" t="s">
        <v>251</v>
      </c>
      <c r="F27" s="17" t="s">
        <v>252</v>
      </c>
      <c r="G27" s="18" t="n">
        <v>60922000000</v>
      </c>
      <c r="H27" s="17" t="s">
        <v>102</v>
      </c>
      <c r="I27" s="19"/>
      <c r="J27" s="21"/>
      <c r="K27" s="21"/>
      <c r="L27" s="20" t="n">
        <v>0</v>
      </c>
      <c r="M27" s="20" t="n">
        <v>0</v>
      </c>
      <c r="N27" s="17" t="s">
        <v>249</v>
      </c>
      <c r="O27" s="21" t="n">
        <f aca="false">L27-M27</f>
        <v>0</v>
      </c>
      <c r="P27" s="17" t="s">
        <v>252</v>
      </c>
      <c r="Q27" s="17" t="s">
        <v>253</v>
      </c>
      <c r="R27" s="22" t="n">
        <v>0.215</v>
      </c>
      <c r="S27" s="22" t="n">
        <v>0.188</v>
      </c>
      <c r="T27" s="21" t="n">
        <f aca="false">SUMIF('EPA facilities'!$A$2:$A$600,$A27,'EPA facilities'!$G$2:$G$600)</f>
        <v>0</v>
      </c>
      <c r="U27" s="23" t="n">
        <f aca="false">IFERROR(ROUND(T27-J27,1),"n/a")</f>
        <v>0</v>
      </c>
      <c r="V27" s="17" t="s">
        <v>254</v>
      </c>
    </row>
    <row r="28" customFormat="false" ht="15" hidden="false" customHeight="false" outlineLevel="0" collapsed="false">
      <c r="A28" s="17" t="s">
        <v>255</v>
      </c>
      <c r="B28" s="17" t="s">
        <v>256</v>
      </c>
      <c r="C28" s="17" t="s">
        <v>257</v>
      </c>
      <c r="D28" s="17" t="s">
        <v>258</v>
      </c>
      <c r="E28" s="17" t="s">
        <v>259</v>
      </c>
      <c r="F28" s="17" t="s">
        <v>260</v>
      </c>
      <c r="G28" s="18" t="n">
        <v>134902000000</v>
      </c>
      <c r="H28" s="17" t="s">
        <v>78</v>
      </c>
      <c r="I28" s="19"/>
      <c r="J28" s="21"/>
      <c r="K28" s="21"/>
      <c r="L28" s="20" t="n">
        <v>0</v>
      </c>
      <c r="M28" s="20" t="n">
        <v>0</v>
      </c>
      <c r="N28" s="17" t="s">
        <v>261</v>
      </c>
      <c r="O28" s="21" t="n">
        <f aca="false">L28-M28</f>
        <v>0</v>
      </c>
      <c r="P28" s="17"/>
      <c r="Q28" s="17"/>
      <c r="R28" s="24"/>
      <c r="S28" s="24"/>
      <c r="T28" s="21" t="n">
        <f aca="false">SUMIF('EPA facilities'!$A$2:$A$600,$A28,'EPA facilities'!$G$2:$G$600)</f>
        <v>0</v>
      </c>
      <c r="U28" s="23" t="n">
        <f aca="false">IFERROR(ROUND(T28-J28,1),"n/a")</f>
        <v>0</v>
      </c>
      <c r="V28" s="17" t="s">
        <v>262</v>
      </c>
    </row>
    <row r="29" customFormat="false" ht="15" hidden="false" customHeight="false" outlineLevel="0" collapsed="false">
      <c r="A29" s="17" t="s">
        <v>263</v>
      </c>
      <c r="B29" s="17" t="s">
        <v>264</v>
      </c>
      <c r="C29" s="17" t="s">
        <v>257</v>
      </c>
      <c r="D29" s="17" t="s">
        <v>265</v>
      </c>
      <c r="E29" s="17" t="s">
        <v>266</v>
      </c>
      <c r="F29" s="17" t="s">
        <v>260</v>
      </c>
      <c r="G29" s="18" t="n">
        <v>307394000000</v>
      </c>
      <c r="H29" s="17" t="s">
        <v>78</v>
      </c>
      <c r="I29" s="19"/>
      <c r="J29" s="20" t="n">
        <v>56418.04</v>
      </c>
      <c r="K29" s="20" t="n">
        <v>15853.46924</v>
      </c>
      <c r="L29" s="20" t="n">
        <v>1</v>
      </c>
      <c r="M29" s="20" t="n">
        <v>1</v>
      </c>
      <c r="N29" s="17" t="s">
        <v>267</v>
      </c>
      <c r="O29" s="21" t="n">
        <f aca="false">L29-M29</f>
        <v>0</v>
      </c>
      <c r="P29" s="17"/>
      <c r="Q29" s="17"/>
      <c r="R29" s="24"/>
      <c r="S29" s="24"/>
      <c r="T29" s="21" t="n">
        <f aca="false">SUMIF('EPA facilities'!$A$2:$A$600,$A29,'EPA facilities'!$G$2:$G$600)</f>
        <v>56418.04</v>
      </c>
      <c r="U29" s="23" t="n">
        <f aca="false">IFERROR(ROUND(T29-J29,1),"n/a")</f>
        <v>0</v>
      </c>
      <c r="V29" s="17" t="s">
        <v>247</v>
      </c>
    </row>
    <row r="30" customFormat="false" ht="15" hidden="false" customHeight="false" outlineLevel="0" collapsed="false">
      <c r="A30" s="17" t="s">
        <v>268</v>
      </c>
      <c r="B30" s="17" t="s">
        <v>269</v>
      </c>
      <c r="C30" s="17" t="s">
        <v>257</v>
      </c>
      <c r="D30" s="17" t="s">
        <v>270</v>
      </c>
      <c r="E30" s="17" t="s">
        <v>271</v>
      </c>
      <c r="F30" s="17" t="s">
        <v>272</v>
      </c>
      <c r="G30" s="18" t="n">
        <v>88898000000</v>
      </c>
      <c r="H30" s="17" t="s">
        <v>102</v>
      </c>
      <c r="I30" s="19"/>
      <c r="J30" s="20" t="n">
        <v>219040.326</v>
      </c>
      <c r="K30" s="20" t="n">
        <v>216849.92274</v>
      </c>
      <c r="L30" s="20" t="n">
        <v>1</v>
      </c>
      <c r="M30" s="20" t="n">
        <v>1</v>
      </c>
      <c r="N30" s="17" t="s">
        <v>273</v>
      </c>
      <c r="O30" s="21" t="n">
        <f aca="false">L30-M30</f>
        <v>0</v>
      </c>
      <c r="P30" s="17" t="s">
        <v>272</v>
      </c>
      <c r="Q30" s="17" t="s">
        <v>274</v>
      </c>
      <c r="R30" s="22" t="n">
        <v>0.052</v>
      </c>
      <c r="S30" s="22" t="n">
        <v>0.047</v>
      </c>
      <c r="T30" s="21" t="n">
        <f aca="false">SUMIF('EPA facilities'!$A$2:$A$600,$A30,'EPA facilities'!$G$2:$G$600)</f>
        <v>219040.326</v>
      </c>
      <c r="U30" s="23" t="n">
        <f aca="false">IFERROR(ROUND(T30-J30,1),"n/a")</f>
        <v>0</v>
      </c>
      <c r="V30" s="17" t="s">
        <v>275</v>
      </c>
    </row>
    <row r="31" customFormat="false" ht="15" hidden="false" customHeight="false" outlineLevel="0" collapsed="false">
      <c r="A31" s="17" t="s">
        <v>276</v>
      </c>
      <c r="B31" s="17" t="s">
        <v>277</v>
      </c>
      <c r="C31" s="17" t="s">
        <v>278</v>
      </c>
      <c r="D31" s="17" t="s">
        <v>279</v>
      </c>
      <c r="E31" s="17" t="s">
        <v>280</v>
      </c>
      <c r="F31" s="17" t="s">
        <v>281</v>
      </c>
      <c r="G31" s="18" t="n">
        <v>28674000000</v>
      </c>
      <c r="H31" s="17" t="s">
        <v>282</v>
      </c>
      <c r="I31" s="19"/>
      <c r="J31" s="20" t="n">
        <v>109686644.2212</v>
      </c>
      <c r="K31" s="20" t="n">
        <v>108720685.116867</v>
      </c>
      <c r="L31" s="20" t="n">
        <v>54</v>
      </c>
      <c r="M31" s="20" t="n">
        <v>48</v>
      </c>
      <c r="N31" s="17" t="s">
        <v>283</v>
      </c>
      <c r="O31" s="21" t="n">
        <f aca="false">L31-M31</f>
        <v>6</v>
      </c>
      <c r="P31" s="17"/>
      <c r="Q31" s="17"/>
      <c r="R31" s="24"/>
      <c r="S31" s="24"/>
      <c r="T31" s="21" t="n">
        <f aca="false">SUMIF('EPA facilities'!$A$2:$A$600,$A31,'EPA facilities'!$G$2:$G$600)</f>
        <v>109686644.2212</v>
      </c>
      <c r="U31" s="23" t="n">
        <f aca="false">IFERROR(ROUND(T31-J31,1),"n/a")</f>
        <v>0</v>
      </c>
      <c r="V31" s="17" t="s">
        <v>284</v>
      </c>
    </row>
    <row r="32" customFormat="false" ht="15" hidden="false" customHeight="false" outlineLevel="0" collapsed="false">
      <c r="A32" s="17" t="s">
        <v>285</v>
      </c>
      <c r="B32" s="17" t="s">
        <v>286</v>
      </c>
      <c r="C32" s="17" t="s">
        <v>278</v>
      </c>
      <c r="D32" s="17" t="s">
        <v>287</v>
      </c>
      <c r="E32" s="17" t="s">
        <v>288</v>
      </c>
      <c r="F32" s="17" t="s">
        <v>281</v>
      </c>
      <c r="G32" s="18" t="n">
        <v>24800000000</v>
      </c>
      <c r="H32" s="17" t="s">
        <v>282</v>
      </c>
      <c r="I32" s="19"/>
      <c r="J32" s="20" t="n">
        <v>53653265.4536</v>
      </c>
      <c r="K32" s="20" t="n">
        <v>42867507.677971</v>
      </c>
      <c r="L32" s="20" t="n">
        <v>30</v>
      </c>
      <c r="M32" s="20" t="n">
        <v>26</v>
      </c>
      <c r="N32" s="17" t="s">
        <v>289</v>
      </c>
      <c r="O32" s="21" t="n">
        <f aca="false">L32-M32</f>
        <v>4</v>
      </c>
      <c r="P32" s="17"/>
      <c r="Q32" s="17"/>
      <c r="R32" s="24"/>
      <c r="S32" s="24"/>
      <c r="T32" s="21" t="n">
        <f aca="false">SUMIF('EPA facilities'!$A$2:$A$600,$A32,'EPA facilities'!$G$2:$G$600)</f>
        <v>53653265.4536</v>
      </c>
      <c r="U32" s="23" t="n">
        <f aca="false">IFERROR(ROUND(T32-J32,1),"n/a")</f>
        <v>0</v>
      </c>
      <c r="V32" s="17" t="s">
        <v>290</v>
      </c>
    </row>
    <row r="33" customFormat="false" ht="15" hidden="false" customHeight="false" outlineLevel="0" collapsed="false">
      <c r="A33" s="17" t="s">
        <v>291</v>
      </c>
      <c r="B33" s="17" t="s">
        <v>292</v>
      </c>
      <c r="C33" s="17" t="s">
        <v>278</v>
      </c>
      <c r="D33" s="17" t="s">
        <v>293</v>
      </c>
      <c r="E33" s="17" t="s">
        <v>294</v>
      </c>
      <c r="F33" s="17" t="s">
        <v>281</v>
      </c>
      <c r="G33" s="18" t="n">
        <v>25253000000</v>
      </c>
      <c r="H33" s="17" t="s">
        <v>102</v>
      </c>
      <c r="I33" s="19"/>
      <c r="J33" s="20" t="n">
        <v>138576856.5844</v>
      </c>
      <c r="K33" s="20" t="n">
        <v>124574337.367514</v>
      </c>
      <c r="L33" s="20" t="n">
        <v>102</v>
      </c>
      <c r="M33" s="20" t="n">
        <v>72</v>
      </c>
      <c r="N33" s="17" t="s">
        <v>295</v>
      </c>
      <c r="O33" s="21" t="n">
        <f aca="false">L33-M33</f>
        <v>30</v>
      </c>
      <c r="P33" s="17"/>
      <c r="Q33" s="17"/>
      <c r="R33" s="24"/>
      <c r="S33" s="24"/>
      <c r="T33" s="21" t="n">
        <f aca="false">SUMIF('EPA facilities'!$A$2:$A$600,$A33,'EPA facilities'!$G$2:$G$600)</f>
        <v>138576856.5844</v>
      </c>
      <c r="U33" s="23" t="n">
        <f aca="false">IFERROR(ROUND(T33-J33,1),"n/a")</f>
        <v>0</v>
      </c>
      <c r="V33" s="17" t="s">
        <v>296</v>
      </c>
    </row>
    <row r="34" customFormat="false" ht="15" hidden="false" customHeight="false" outlineLevel="0" collapsed="false">
      <c r="G34" s="25"/>
      <c r="I34" s="25"/>
      <c r="J34" s="26"/>
      <c r="K34" s="26"/>
      <c r="L34" s="26"/>
      <c r="M34" s="26"/>
      <c r="O34" s="26"/>
      <c r="R34" s="27"/>
      <c r="S34" s="27"/>
      <c r="T34" s="26"/>
      <c r="U34" s="28"/>
    </row>
    <row r="35" customFormat="false" ht="15" hidden="false" customHeight="false" outlineLevel="0" collapsed="false">
      <c r="A35" s="3" t="s">
        <v>297</v>
      </c>
      <c r="G35" s="29" t="n">
        <f aca="false">SUM(G4:G33)</f>
        <v>4212513900000</v>
      </c>
      <c r="I35" s="29" t="n">
        <f aca="false">SUM(I4:I33)</f>
        <v>0</v>
      </c>
      <c r="J35" s="30" t="n">
        <f aca="false">SUM(J4:J33)</f>
        <v>1005057500.44857</v>
      </c>
      <c r="K35" s="30" t="n">
        <f aca="false">SUM(K4:K33)</f>
        <v>951416195.858679</v>
      </c>
      <c r="L35" s="30" t="n">
        <f aca="false">SUM(L4:L33)</f>
        <v>562</v>
      </c>
      <c r="M35" s="30" t="n">
        <f aca="false">SUM(M4:M33)</f>
        <v>383</v>
      </c>
      <c r="O35" s="26"/>
      <c r="R35" s="27"/>
      <c r="S35" s="27"/>
      <c r="T35" s="30" t="n">
        <f aca="false">SUM(T4:T33)</f>
        <v>1005057500.44857</v>
      </c>
      <c r="U35" s="28"/>
    </row>
    <row r="37" customFormat="false" ht="15" hidden="false" customHeight="false" outlineLevel="0" collapsed="false">
      <c r="A37" s="2" t="s">
        <v>298</v>
      </c>
    </row>
  </sheetData>
  <mergeCells count="5">
    <mergeCell ref="A1:F1"/>
    <mergeCell ref="G1:I1"/>
    <mergeCell ref="J1:O1"/>
    <mergeCell ref="P1:S1"/>
    <mergeCell ref="T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52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78"/>
  </cols>
  <sheetData>
    <row r="1" customFormat="false" ht="43.5" hidden="false" customHeight="true" outlineLevel="0" collapsed="false">
      <c r="A1" s="10" t="s">
        <v>39</v>
      </c>
      <c r="B1" s="10" t="s">
        <v>299</v>
      </c>
      <c r="C1" s="10" t="s">
        <v>300</v>
      </c>
      <c r="D1" s="10" t="s">
        <v>301</v>
      </c>
      <c r="E1" s="10" t="s">
        <v>302</v>
      </c>
      <c r="F1" s="10" t="s">
        <v>303</v>
      </c>
      <c r="G1" s="10" t="s">
        <v>304</v>
      </c>
      <c r="H1" s="10" t="s">
        <v>305</v>
      </c>
    </row>
    <row r="2" customFormat="false" ht="15" hidden="false" customHeight="false" outlineLevel="0" collapsed="false">
      <c r="A2" s="4" t="s">
        <v>65</v>
      </c>
      <c r="B2" s="31" t="n">
        <v>1001874</v>
      </c>
      <c r="C2" s="4" t="s">
        <v>306</v>
      </c>
      <c r="D2" s="4" t="s">
        <v>307</v>
      </c>
      <c r="E2" s="4" t="s">
        <v>308</v>
      </c>
      <c r="F2" s="32" t="n">
        <v>0.364</v>
      </c>
      <c r="G2" s="33"/>
      <c r="H2" s="4" t="s">
        <v>309</v>
      </c>
    </row>
    <row r="3" customFormat="false" ht="15" hidden="false" customHeight="false" outlineLevel="0" collapsed="false">
      <c r="A3" s="4" t="s">
        <v>65</v>
      </c>
      <c r="B3" s="31" t="n">
        <v>1013842</v>
      </c>
      <c r="C3" s="4" t="s">
        <v>310</v>
      </c>
      <c r="D3" s="4" t="s">
        <v>311</v>
      </c>
      <c r="E3" s="4" t="s">
        <v>85</v>
      </c>
      <c r="F3" s="32" t="n">
        <v>0.1999</v>
      </c>
      <c r="G3" s="34" t="n">
        <v>127570.124</v>
      </c>
      <c r="H3" s="4" t="s">
        <v>312</v>
      </c>
    </row>
    <row r="4" customFormat="false" ht="15" hidden="false" customHeight="false" outlineLevel="0" collapsed="false">
      <c r="A4" s="4" t="s">
        <v>65</v>
      </c>
      <c r="B4" s="31" t="n">
        <v>1001799</v>
      </c>
      <c r="C4" s="4" t="s">
        <v>313</v>
      </c>
      <c r="D4" s="4" t="s">
        <v>307</v>
      </c>
      <c r="E4" s="4" t="s">
        <v>308</v>
      </c>
      <c r="F4" s="32" t="n">
        <v>0.364</v>
      </c>
      <c r="G4" s="33"/>
      <c r="H4" s="4" t="s">
        <v>309</v>
      </c>
    </row>
    <row r="5" customFormat="false" ht="15" hidden="false" customHeight="false" outlineLevel="0" collapsed="false">
      <c r="A5" s="4" t="s">
        <v>65</v>
      </c>
      <c r="B5" s="31" t="n">
        <v>1004142</v>
      </c>
      <c r="C5" s="4" t="s">
        <v>314</v>
      </c>
      <c r="D5" s="4" t="s">
        <v>311</v>
      </c>
      <c r="E5" s="4" t="s">
        <v>308</v>
      </c>
      <c r="F5" s="32" t="n">
        <v>1</v>
      </c>
      <c r="G5" s="33"/>
      <c r="H5" s="4" t="s">
        <v>315</v>
      </c>
    </row>
    <row r="6" customFormat="false" ht="15" hidden="false" customHeight="false" outlineLevel="0" collapsed="false">
      <c r="A6" s="4" t="s">
        <v>65</v>
      </c>
      <c r="B6" s="31" t="n">
        <v>1001875</v>
      </c>
      <c r="C6" s="4" t="s">
        <v>316</v>
      </c>
      <c r="D6" s="4" t="s">
        <v>307</v>
      </c>
      <c r="E6" s="4" t="s">
        <v>308</v>
      </c>
      <c r="F6" s="32" t="n">
        <v>0.364</v>
      </c>
      <c r="G6" s="33"/>
      <c r="H6" s="4" t="s">
        <v>309</v>
      </c>
    </row>
    <row r="7" customFormat="false" ht="15" hidden="false" customHeight="false" outlineLevel="0" collapsed="false">
      <c r="A7" s="4" t="s">
        <v>65</v>
      </c>
      <c r="B7" s="31" t="n">
        <v>1005393</v>
      </c>
      <c r="C7" s="4" t="s">
        <v>317</v>
      </c>
      <c r="D7" s="4" t="s">
        <v>311</v>
      </c>
      <c r="E7" s="4" t="s">
        <v>308</v>
      </c>
      <c r="F7" s="32" t="n">
        <v>1</v>
      </c>
      <c r="G7" s="33"/>
      <c r="H7" s="4" t="s">
        <v>315</v>
      </c>
    </row>
    <row r="8" customFormat="false" ht="15" hidden="false" customHeight="false" outlineLevel="0" collapsed="false">
      <c r="A8" s="4" t="s">
        <v>65</v>
      </c>
      <c r="B8" s="31" t="n">
        <v>1002672</v>
      </c>
      <c r="C8" s="4" t="s">
        <v>318</v>
      </c>
      <c r="D8" s="4" t="s">
        <v>311</v>
      </c>
      <c r="E8" s="4" t="s">
        <v>308</v>
      </c>
      <c r="F8" s="32" t="n">
        <v>1</v>
      </c>
      <c r="G8" s="33"/>
      <c r="H8" s="4" t="s">
        <v>315</v>
      </c>
    </row>
    <row r="9" customFormat="false" ht="15" hidden="false" customHeight="false" outlineLevel="0" collapsed="false">
      <c r="A9" s="4" t="s">
        <v>65</v>
      </c>
      <c r="B9" s="31" t="n">
        <v>1013843</v>
      </c>
      <c r="C9" s="4" t="s">
        <v>319</v>
      </c>
      <c r="D9" s="4" t="s">
        <v>311</v>
      </c>
      <c r="E9" s="4" t="s">
        <v>85</v>
      </c>
      <c r="F9" s="32" t="n">
        <v>0.2</v>
      </c>
      <c r="G9" s="34" t="n">
        <v>125913.78</v>
      </c>
      <c r="H9" s="4" t="s">
        <v>320</v>
      </c>
    </row>
    <row r="10" customFormat="false" ht="15" hidden="false" customHeight="false" outlineLevel="0" collapsed="false">
      <c r="A10" s="4" t="s">
        <v>65</v>
      </c>
      <c r="B10" s="31" t="n">
        <v>1003484</v>
      </c>
      <c r="C10" s="4" t="s">
        <v>321</v>
      </c>
      <c r="D10" s="4" t="s">
        <v>322</v>
      </c>
      <c r="E10" s="4" t="s">
        <v>323</v>
      </c>
      <c r="F10" s="32" t="n">
        <v>1</v>
      </c>
      <c r="G10" s="34" t="n">
        <v>74312.72</v>
      </c>
      <c r="H10" s="4" t="s">
        <v>324</v>
      </c>
    </row>
    <row r="11" customFormat="false" ht="15" hidden="false" customHeight="false" outlineLevel="0" collapsed="false">
      <c r="A11" s="4" t="s">
        <v>65</v>
      </c>
      <c r="B11" s="31" t="n">
        <v>1007643</v>
      </c>
      <c r="C11" s="4" t="s">
        <v>325</v>
      </c>
      <c r="D11" s="4" t="s">
        <v>322</v>
      </c>
      <c r="E11" s="4" t="s">
        <v>70</v>
      </c>
      <c r="F11" s="32" t="n">
        <v>1</v>
      </c>
      <c r="G11" s="34" t="n">
        <v>86892465.7651042</v>
      </c>
      <c r="H11" s="4" t="s">
        <v>324</v>
      </c>
    </row>
    <row r="12" customFormat="false" ht="15" hidden="false" customHeight="false" outlineLevel="0" collapsed="false">
      <c r="A12" s="4" t="s">
        <v>65</v>
      </c>
      <c r="B12" s="31" t="n">
        <v>1006274</v>
      </c>
      <c r="C12" s="4" t="s">
        <v>326</v>
      </c>
      <c r="D12" s="4" t="s">
        <v>311</v>
      </c>
      <c r="E12" s="4" t="s">
        <v>323</v>
      </c>
      <c r="F12" s="32" t="n">
        <v>1</v>
      </c>
      <c r="G12" s="34" t="n">
        <v>93204.2</v>
      </c>
      <c r="H12" s="4" t="s">
        <v>324</v>
      </c>
    </row>
    <row r="13" customFormat="false" ht="15" hidden="false" customHeight="false" outlineLevel="0" collapsed="false">
      <c r="A13" s="4" t="s">
        <v>65</v>
      </c>
      <c r="B13" s="31" t="n">
        <v>1005858</v>
      </c>
      <c r="C13" s="4" t="s">
        <v>327</v>
      </c>
      <c r="D13" s="4" t="s">
        <v>311</v>
      </c>
      <c r="E13" s="4" t="s">
        <v>328</v>
      </c>
      <c r="F13" s="32" t="n">
        <v>0.12</v>
      </c>
      <c r="G13" s="34" t="n">
        <v>99720.708</v>
      </c>
      <c r="H13" s="4" t="s">
        <v>329</v>
      </c>
    </row>
    <row r="14" customFormat="false" ht="15" hidden="false" customHeight="false" outlineLevel="0" collapsed="false">
      <c r="A14" s="4" t="s">
        <v>65</v>
      </c>
      <c r="B14" s="31" t="n">
        <v>1002676</v>
      </c>
      <c r="C14" s="4" t="s">
        <v>330</v>
      </c>
      <c r="D14" s="4" t="s">
        <v>311</v>
      </c>
      <c r="E14" s="4" t="s">
        <v>331</v>
      </c>
      <c r="F14" s="32" t="n">
        <v>1</v>
      </c>
      <c r="G14" s="34" t="n">
        <v>81902.414</v>
      </c>
      <c r="H14" s="4" t="s">
        <v>324</v>
      </c>
    </row>
    <row r="15" customFormat="false" ht="15" hidden="false" customHeight="false" outlineLevel="0" collapsed="false">
      <c r="A15" s="4" t="s">
        <v>65</v>
      </c>
      <c r="B15" s="31" t="n">
        <v>1012581</v>
      </c>
      <c r="C15" s="4" t="s">
        <v>332</v>
      </c>
      <c r="D15" s="4" t="s">
        <v>333</v>
      </c>
      <c r="E15" s="4" t="s">
        <v>331</v>
      </c>
      <c r="F15" s="32" t="n">
        <v>1</v>
      </c>
      <c r="G15" s="33"/>
      <c r="H15" s="4" t="s">
        <v>324</v>
      </c>
    </row>
    <row r="16" customFormat="false" ht="15" hidden="false" customHeight="false" outlineLevel="0" collapsed="false">
      <c r="A16" s="4" t="s">
        <v>65</v>
      </c>
      <c r="B16" s="31" t="n">
        <v>1012552</v>
      </c>
      <c r="C16" s="4" t="s">
        <v>334</v>
      </c>
      <c r="D16" s="4" t="s">
        <v>335</v>
      </c>
      <c r="E16" s="4" t="s">
        <v>331</v>
      </c>
      <c r="F16" s="32" t="n">
        <v>1</v>
      </c>
      <c r="G16" s="34" t="n">
        <v>258975.742</v>
      </c>
      <c r="H16" s="4" t="s">
        <v>324</v>
      </c>
    </row>
    <row r="17" customFormat="false" ht="15" hidden="false" customHeight="false" outlineLevel="0" collapsed="false">
      <c r="A17" s="4" t="s">
        <v>65</v>
      </c>
      <c r="B17" s="31" t="n">
        <v>1002735</v>
      </c>
      <c r="C17" s="4" t="s">
        <v>336</v>
      </c>
      <c r="D17" s="4" t="s">
        <v>333</v>
      </c>
      <c r="E17" s="4" t="s">
        <v>328</v>
      </c>
      <c r="F17" s="32" t="n">
        <v>0.38</v>
      </c>
      <c r="G17" s="34" t="n">
        <v>17375.132</v>
      </c>
      <c r="H17" s="4" t="s">
        <v>337</v>
      </c>
    </row>
    <row r="18" customFormat="false" ht="15" hidden="false" customHeight="false" outlineLevel="0" collapsed="false">
      <c r="A18" s="4" t="s">
        <v>65</v>
      </c>
      <c r="B18" s="31" t="n">
        <v>1013841</v>
      </c>
      <c r="C18" s="4" t="s">
        <v>338</v>
      </c>
      <c r="D18" s="4" t="s">
        <v>311</v>
      </c>
      <c r="E18" s="4" t="s">
        <v>85</v>
      </c>
      <c r="F18" s="32" t="n">
        <v>0.1999</v>
      </c>
      <c r="G18" s="34" t="n">
        <v>136720.212</v>
      </c>
      <c r="H18" s="4" t="s">
        <v>312</v>
      </c>
    </row>
    <row r="19" customFormat="false" ht="15" hidden="false" customHeight="false" outlineLevel="0" collapsed="false">
      <c r="A19" s="4" t="s">
        <v>65</v>
      </c>
      <c r="B19" s="31" t="n">
        <v>1012546</v>
      </c>
      <c r="C19" s="4" t="s">
        <v>339</v>
      </c>
      <c r="D19" s="4" t="s">
        <v>335</v>
      </c>
      <c r="E19" s="4" t="s">
        <v>331</v>
      </c>
      <c r="F19" s="32" t="n">
        <v>1</v>
      </c>
      <c r="G19" s="34" t="n">
        <v>2090.75</v>
      </c>
      <c r="H19" s="4" t="s">
        <v>324</v>
      </c>
    </row>
    <row r="20" customFormat="false" ht="15" hidden="false" customHeight="false" outlineLevel="0" collapsed="false">
      <c r="A20" s="4" t="s">
        <v>65</v>
      </c>
      <c r="B20" s="31" t="n">
        <v>1009388</v>
      </c>
      <c r="C20" s="4" t="s">
        <v>340</v>
      </c>
      <c r="D20" s="4" t="s">
        <v>311</v>
      </c>
      <c r="E20" s="4" t="s">
        <v>331</v>
      </c>
      <c r="F20" s="32" t="n">
        <v>1</v>
      </c>
      <c r="G20" s="33"/>
      <c r="H20" s="4" t="s">
        <v>324</v>
      </c>
    </row>
    <row r="21" customFormat="false" ht="15" hidden="false" customHeight="false" outlineLevel="0" collapsed="false">
      <c r="A21" s="4" t="s">
        <v>65</v>
      </c>
      <c r="B21" s="31" t="n">
        <v>1007959</v>
      </c>
      <c r="C21" s="4" t="s">
        <v>341</v>
      </c>
      <c r="D21" s="4" t="s">
        <v>311</v>
      </c>
      <c r="E21" s="4" t="s">
        <v>70</v>
      </c>
      <c r="F21" s="32" t="n">
        <v>1</v>
      </c>
      <c r="G21" s="34" t="n">
        <v>89058741.8050102</v>
      </c>
      <c r="H21" s="4" t="s">
        <v>324</v>
      </c>
    </row>
    <row r="22" customFormat="false" ht="15" hidden="false" customHeight="false" outlineLevel="0" collapsed="false">
      <c r="A22" s="4" t="s">
        <v>65</v>
      </c>
      <c r="B22" s="31" t="n">
        <v>1005405</v>
      </c>
      <c r="C22" s="4" t="s">
        <v>342</v>
      </c>
      <c r="D22" s="4" t="s">
        <v>311</v>
      </c>
      <c r="E22" s="4" t="s">
        <v>308</v>
      </c>
      <c r="F22" s="32" t="n">
        <v>1</v>
      </c>
      <c r="G22" s="33"/>
      <c r="H22" s="4" t="s">
        <v>315</v>
      </c>
    </row>
    <row r="23" customFormat="false" ht="15" hidden="false" customHeight="false" outlineLevel="0" collapsed="false">
      <c r="A23" s="4" t="s">
        <v>65</v>
      </c>
      <c r="B23" s="31" t="n">
        <v>1011100</v>
      </c>
      <c r="C23" s="4" t="s">
        <v>343</v>
      </c>
      <c r="D23" s="4" t="s">
        <v>311</v>
      </c>
      <c r="E23" s="4" t="s">
        <v>331</v>
      </c>
      <c r="F23" s="32" t="n">
        <v>0.5</v>
      </c>
      <c r="G23" s="34" t="n">
        <v>17887.192</v>
      </c>
      <c r="H23" s="4" t="s">
        <v>344</v>
      </c>
    </row>
    <row r="24" customFormat="false" ht="15" hidden="false" customHeight="false" outlineLevel="0" collapsed="false">
      <c r="A24" s="4" t="s">
        <v>65</v>
      </c>
      <c r="B24" s="31" t="n">
        <v>1010591</v>
      </c>
      <c r="C24" s="4" t="s">
        <v>345</v>
      </c>
      <c r="D24" s="4" t="s">
        <v>346</v>
      </c>
      <c r="E24" s="4" t="s">
        <v>308</v>
      </c>
      <c r="F24" s="32" t="n">
        <v>1</v>
      </c>
      <c r="G24" s="33"/>
      <c r="H24" s="4" t="s">
        <v>315</v>
      </c>
    </row>
    <row r="25" customFormat="false" ht="15" hidden="false" customHeight="false" outlineLevel="0" collapsed="false">
      <c r="A25" s="4" t="s">
        <v>65</v>
      </c>
      <c r="B25" s="31" t="n">
        <v>1010913</v>
      </c>
      <c r="C25" s="4" t="s">
        <v>347</v>
      </c>
      <c r="D25" s="4" t="s">
        <v>348</v>
      </c>
      <c r="E25" s="4" t="s">
        <v>308</v>
      </c>
      <c r="F25" s="32" t="n">
        <v>1</v>
      </c>
      <c r="G25" s="33"/>
      <c r="H25" s="4" t="s">
        <v>315</v>
      </c>
    </row>
    <row r="26" customFormat="false" ht="15" hidden="false" customHeight="false" outlineLevel="0" collapsed="false">
      <c r="A26" s="4" t="s">
        <v>65</v>
      </c>
      <c r="B26" s="31" t="n">
        <v>1012596</v>
      </c>
      <c r="C26" s="4" t="s">
        <v>349</v>
      </c>
      <c r="D26" s="4" t="s">
        <v>311</v>
      </c>
      <c r="E26" s="4" t="s">
        <v>331</v>
      </c>
      <c r="F26" s="32" t="n">
        <v>1</v>
      </c>
      <c r="G26" s="34" t="n">
        <v>64725.03</v>
      </c>
      <c r="H26" s="4" t="s">
        <v>324</v>
      </c>
    </row>
    <row r="27" customFormat="false" ht="15" hidden="false" customHeight="false" outlineLevel="0" collapsed="false">
      <c r="A27" s="4" t="s">
        <v>65</v>
      </c>
      <c r="B27" s="31" t="n">
        <v>1012568</v>
      </c>
      <c r="C27" s="4" t="s">
        <v>350</v>
      </c>
      <c r="D27" s="4" t="s">
        <v>351</v>
      </c>
      <c r="E27" s="4" t="s">
        <v>331</v>
      </c>
      <c r="F27" s="32" t="n">
        <v>1</v>
      </c>
      <c r="G27" s="34" t="n">
        <v>101784.242</v>
      </c>
      <c r="H27" s="4" t="s">
        <v>324</v>
      </c>
    </row>
    <row r="28" customFormat="false" ht="15" hidden="false" customHeight="false" outlineLevel="0" collapsed="false">
      <c r="A28" s="4" t="s">
        <v>65</v>
      </c>
      <c r="B28" s="31" t="n">
        <v>1014396</v>
      </c>
      <c r="C28" s="4" t="s">
        <v>352</v>
      </c>
      <c r="D28" s="4" t="s">
        <v>333</v>
      </c>
      <c r="E28" s="4" t="s">
        <v>328</v>
      </c>
      <c r="F28" s="32" t="n">
        <v>1</v>
      </c>
      <c r="G28" s="34" t="n">
        <v>73088.92</v>
      </c>
      <c r="H28" s="4" t="s">
        <v>324</v>
      </c>
    </row>
    <row r="29" customFormat="false" ht="15" hidden="false" customHeight="false" outlineLevel="0" collapsed="false">
      <c r="A29" s="4" t="s">
        <v>65</v>
      </c>
      <c r="B29" s="31" t="n">
        <v>1012588</v>
      </c>
      <c r="C29" s="4" t="s">
        <v>353</v>
      </c>
      <c r="D29" s="4" t="s">
        <v>333</v>
      </c>
      <c r="E29" s="4" t="s">
        <v>308</v>
      </c>
      <c r="F29" s="32" t="n">
        <v>1</v>
      </c>
      <c r="G29" s="33"/>
      <c r="H29" s="4" t="s">
        <v>315</v>
      </c>
    </row>
    <row r="30" customFormat="false" ht="15" hidden="false" customHeight="false" outlineLevel="0" collapsed="false">
      <c r="A30" s="4" t="s">
        <v>65</v>
      </c>
      <c r="B30" s="31" t="n">
        <v>1005409</v>
      </c>
      <c r="C30" s="4" t="s">
        <v>354</v>
      </c>
      <c r="D30" s="4" t="s">
        <v>311</v>
      </c>
      <c r="E30" s="4" t="s">
        <v>308</v>
      </c>
      <c r="F30" s="32" t="n">
        <v>1</v>
      </c>
      <c r="G30" s="33"/>
      <c r="H30" s="4" t="s">
        <v>355</v>
      </c>
    </row>
    <row r="31" customFormat="false" ht="15" hidden="false" customHeight="false" outlineLevel="0" collapsed="false">
      <c r="A31" s="4" t="s">
        <v>65</v>
      </c>
      <c r="B31" s="31" t="n">
        <v>1004134</v>
      </c>
      <c r="C31" s="4" t="s">
        <v>356</v>
      </c>
      <c r="D31" s="4" t="s">
        <v>311</v>
      </c>
      <c r="E31" s="4" t="s">
        <v>308</v>
      </c>
      <c r="F31" s="32" t="n">
        <v>1</v>
      </c>
      <c r="G31" s="33"/>
      <c r="H31" s="4" t="s">
        <v>315</v>
      </c>
    </row>
    <row r="32" customFormat="false" ht="15" hidden="false" customHeight="false" outlineLevel="0" collapsed="false">
      <c r="A32" s="4" t="s">
        <v>65</v>
      </c>
      <c r="B32" s="31" t="n">
        <v>1005793</v>
      </c>
      <c r="C32" s="4" t="s">
        <v>357</v>
      </c>
      <c r="D32" s="4" t="s">
        <v>311</v>
      </c>
      <c r="E32" s="4" t="s">
        <v>308</v>
      </c>
      <c r="F32" s="32" t="n">
        <v>1</v>
      </c>
      <c r="G32" s="33"/>
      <c r="H32" s="4" t="s">
        <v>315</v>
      </c>
    </row>
    <row r="33" customFormat="false" ht="15" hidden="false" customHeight="false" outlineLevel="0" collapsed="false">
      <c r="A33" s="4" t="s">
        <v>65</v>
      </c>
      <c r="B33" s="31" t="n">
        <v>1006801</v>
      </c>
      <c r="C33" s="4" t="s">
        <v>358</v>
      </c>
      <c r="D33" s="4" t="s">
        <v>322</v>
      </c>
      <c r="E33" s="4" t="s">
        <v>323</v>
      </c>
      <c r="F33" s="32" t="n">
        <v>1</v>
      </c>
      <c r="G33" s="34" t="n">
        <v>156123.982</v>
      </c>
      <c r="H33" s="4" t="s">
        <v>324</v>
      </c>
    </row>
    <row r="34" customFormat="false" ht="15" hidden="false" customHeight="false" outlineLevel="0" collapsed="false">
      <c r="A34" s="4" t="s">
        <v>65</v>
      </c>
      <c r="B34" s="31" t="n">
        <v>1007229</v>
      </c>
      <c r="C34" s="4" t="s">
        <v>359</v>
      </c>
      <c r="D34" s="4" t="s">
        <v>311</v>
      </c>
      <c r="E34" s="4" t="s">
        <v>308</v>
      </c>
      <c r="F34" s="32" t="n">
        <v>1</v>
      </c>
      <c r="G34" s="33"/>
      <c r="H34" s="4" t="s">
        <v>315</v>
      </c>
    </row>
    <row r="35" customFormat="false" ht="15" hidden="false" customHeight="false" outlineLevel="0" collapsed="false">
      <c r="A35" s="4" t="s">
        <v>65</v>
      </c>
      <c r="B35" s="31" t="n">
        <v>1004141</v>
      </c>
      <c r="C35" s="4" t="s">
        <v>360</v>
      </c>
      <c r="D35" s="4" t="s">
        <v>311</v>
      </c>
      <c r="E35" s="4" t="s">
        <v>308</v>
      </c>
      <c r="F35" s="32" t="n">
        <v>1</v>
      </c>
      <c r="G35" s="33"/>
      <c r="H35" s="4" t="s">
        <v>315</v>
      </c>
    </row>
    <row r="36" customFormat="false" ht="15" hidden="false" customHeight="false" outlineLevel="0" collapsed="false">
      <c r="A36" s="4" t="s">
        <v>65</v>
      </c>
      <c r="B36" s="31" t="n">
        <v>1014210</v>
      </c>
      <c r="C36" s="4" t="s">
        <v>361</v>
      </c>
      <c r="D36" s="4" t="s">
        <v>311</v>
      </c>
      <c r="E36" s="4" t="s">
        <v>362</v>
      </c>
      <c r="F36" s="32" t="n">
        <v>0.5</v>
      </c>
      <c r="G36" s="34" t="n">
        <v>1597729.74</v>
      </c>
      <c r="H36" s="4" t="s">
        <v>363</v>
      </c>
    </row>
    <row r="37" customFormat="false" ht="15" hidden="false" customHeight="false" outlineLevel="0" collapsed="false">
      <c r="A37" s="4" t="s">
        <v>65</v>
      </c>
      <c r="B37" s="31" t="n">
        <v>1005404</v>
      </c>
      <c r="C37" s="4" t="s">
        <v>364</v>
      </c>
      <c r="D37" s="4" t="s">
        <v>311</v>
      </c>
      <c r="E37" s="4" t="s">
        <v>308</v>
      </c>
      <c r="F37" s="32" t="n">
        <v>1</v>
      </c>
      <c r="G37" s="33"/>
      <c r="H37" s="4" t="s">
        <v>315</v>
      </c>
    </row>
    <row r="38" customFormat="false" ht="15" hidden="false" customHeight="false" outlineLevel="0" collapsed="false">
      <c r="A38" s="4" t="s">
        <v>65</v>
      </c>
      <c r="B38" s="31" t="n">
        <v>1008078</v>
      </c>
      <c r="C38" s="4" t="s">
        <v>365</v>
      </c>
      <c r="D38" s="4" t="s">
        <v>335</v>
      </c>
      <c r="E38" s="4" t="s">
        <v>331</v>
      </c>
      <c r="F38" s="32" t="n">
        <v>1</v>
      </c>
      <c r="G38" s="34" t="n">
        <v>73130.55</v>
      </c>
      <c r="H38" s="4" t="s">
        <v>324</v>
      </c>
    </row>
    <row r="39" customFormat="false" ht="15" hidden="false" customHeight="false" outlineLevel="0" collapsed="false">
      <c r="A39" s="4" t="s">
        <v>65</v>
      </c>
      <c r="B39" s="31" t="n">
        <v>1002507</v>
      </c>
      <c r="C39" s="4" t="s">
        <v>366</v>
      </c>
      <c r="D39" s="4" t="s">
        <v>367</v>
      </c>
      <c r="E39" s="4" t="s">
        <v>331</v>
      </c>
      <c r="F39" s="32" t="n">
        <v>1</v>
      </c>
      <c r="G39" s="33"/>
      <c r="H39" s="4" t="s">
        <v>315</v>
      </c>
    </row>
    <row r="40" customFormat="false" ht="15" hidden="false" customHeight="false" outlineLevel="0" collapsed="false">
      <c r="A40" s="4" t="s">
        <v>65</v>
      </c>
      <c r="B40" s="31" t="n">
        <v>1005406</v>
      </c>
      <c r="C40" s="4" t="s">
        <v>368</v>
      </c>
      <c r="D40" s="4" t="s">
        <v>311</v>
      </c>
      <c r="E40" s="4" t="s">
        <v>308</v>
      </c>
      <c r="F40" s="32" t="n">
        <v>1</v>
      </c>
      <c r="G40" s="33"/>
      <c r="H40" s="4" t="s">
        <v>315</v>
      </c>
    </row>
    <row r="41" customFormat="false" ht="15" hidden="false" customHeight="false" outlineLevel="0" collapsed="false">
      <c r="A41" s="4" t="s">
        <v>65</v>
      </c>
      <c r="B41" s="31" t="n">
        <v>1004998</v>
      </c>
      <c r="C41" s="4" t="s">
        <v>369</v>
      </c>
      <c r="D41" s="4" t="s">
        <v>307</v>
      </c>
      <c r="E41" s="4" t="s">
        <v>328</v>
      </c>
      <c r="F41" s="32" t="n">
        <v>0.0253</v>
      </c>
      <c r="G41" s="34" t="n">
        <v>337420.78</v>
      </c>
      <c r="H41" s="4" t="s">
        <v>370</v>
      </c>
    </row>
    <row r="42" customFormat="false" ht="15" hidden="false" customHeight="false" outlineLevel="0" collapsed="false">
      <c r="A42" s="4" t="s">
        <v>65</v>
      </c>
      <c r="B42" s="31" t="n">
        <v>1001800</v>
      </c>
      <c r="C42" s="4" t="s">
        <v>371</v>
      </c>
      <c r="D42" s="4" t="s">
        <v>307</v>
      </c>
      <c r="E42" s="4" t="s">
        <v>308</v>
      </c>
      <c r="F42" s="32" t="n">
        <v>0.364</v>
      </c>
      <c r="G42" s="33"/>
      <c r="H42" s="4" t="s">
        <v>309</v>
      </c>
    </row>
    <row r="43" customFormat="false" ht="15" hidden="false" customHeight="false" outlineLevel="0" collapsed="false">
      <c r="A43" s="4" t="s">
        <v>65</v>
      </c>
      <c r="B43" s="31" t="n">
        <v>1006416</v>
      </c>
      <c r="C43" s="4" t="s">
        <v>372</v>
      </c>
      <c r="D43" s="4" t="s">
        <v>311</v>
      </c>
      <c r="E43" s="4" t="s">
        <v>323</v>
      </c>
      <c r="F43" s="32" t="n">
        <v>1</v>
      </c>
      <c r="G43" s="34" t="n">
        <v>68633.684</v>
      </c>
      <c r="H43" s="4" t="s">
        <v>324</v>
      </c>
    </row>
    <row r="44" customFormat="false" ht="15" hidden="false" customHeight="false" outlineLevel="0" collapsed="false">
      <c r="A44" s="4" t="s">
        <v>65</v>
      </c>
      <c r="B44" s="31" t="n">
        <v>1004148</v>
      </c>
      <c r="C44" s="4" t="s">
        <v>373</v>
      </c>
      <c r="D44" s="4" t="s">
        <v>311</v>
      </c>
      <c r="E44" s="4" t="s">
        <v>308</v>
      </c>
      <c r="F44" s="32" t="n">
        <v>1</v>
      </c>
      <c r="G44" s="33"/>
      <c r="H44" s="4" t="s">
        <v>315</v>
      </c>
    </row>
    <row r="45" customFormat="false" ht="15" hidden="false" customHeight="false" outlineLevel="0" collapsed="false">
      <c r="A45" s="4" t="s">
        <v>65</v>
      </c>
      <c r="B45" s="31" t="n">
        <v>1006068</v>
      </c>
      <c r="C45" s="4" t="s">
        <v>374</v>
      </c>
      <c r="D45" s="4" t="s">
        <v>375</v>
      </c>
      <c r="E45" s="4" t="s">
        <v>70</v>
      </c>
      <c r="F45" s="32" t="n">
        <v>1</v>
      </c>
      <c r="G45" s="34" t="n">
        <v>45056313.8745351</v>
      </c>
      <c r="H45" s="4" t="s">
        <v>324</v>
      </c>
    </row>
    <row r="46" customFormat="false" ht="15" hidden="false" customHeight="false" outlineLevel="0" collapsed="false">
      <c r="A46" s="4" t="s">
        <v>65</v>
      </c>
      <c r="B46" s="31" t="n">
        <v>1005315</v>
      </c>
      <c r="C46" s="4" t="s">
        <v>376</v>
      </c>
      <c r="D46" s="4" t="s">
        <v>311</v>
      </c>
      <c r="E46" s="4" t="s">
        <v>308</v>
      </c>
      <c r="F46" s="32" t="n">
        <v>1</v>
      </c>
      <c r="G46" s="33"/>
      <c r="H46" s="4" t="s">
        <v>315</v>
      </c>
    </row>
    <row r="47" customFormat="false" ht="15" hidden="false" customHeight="false" outlineLevel="0" collapsed="false">
      <c r="A47" s="4" t="s">
        <v>65</v>
      </c>
      <c r="B47" s="31" t="n">
        <v>1009142</v>
      </c>
      <c r="C47" s="4" t="s">
        <v>377</v>
      </c>
      <c r="D47" s="4" t="s">
        <v>333</v>
      </c>
      <c r="E47" s="4" t="s">
        <v>308</v>
      </c>
      <c r="F47" s="32" t="n">
        <v>1</v>
      </c>
      <c r="G47" s="33"/>
      <c r="H47" s="4" t="s">
        <v>315</v>
      </c>
    </row>
    <row r="48" customFormat="false" ht="15" hidden="false" customHeight="false" outlineLevel="0" collapsed="false">
      <c r="A48" s="4" t="s">
        <v>65</v>
      </c>
      <c r="B48" s="31" t="n">
        <v>1007542</v>
      </c>
      <c r="C48" s="4" t="s">
        <v>378</v>
      </c>
      <c r="D48" s="4" t="s">
        <v>311</v>
      </c>
      <c r="E48" s="4" t="s">
        <v>70</v>
      </c>
      <c r="F48" s="32" t="n">
        <v>1</v>
      </c>
      <c r="G48" s="34" t="n">
        <v>94894787.7906668</v>
      </c>
      <c r="H48" s="4" t="s">
        <v>324</v>
      </c>
    </row>
    <row r="49" customFormat="false" ht="15" hidden="false" customHeight="false" outlineLevel="0" collapsed="false">
      <c r="A49" s="4" t="s">
        <v>65</v>
      </c>
      <c r="B49" s="31" t="n">
        <v>1005391</v>
      </c>
      <c r="C49" s="4" t="s">
        <v>379</v>
      </c>
      <c r="D49" s="4" t="s">
        <v>311</v>
      </c>
      <c r="E49" s="4" t="s">
        <v>331</v>
      </c>
      <c r="F49" s="32" t="n">
        <v>1</v>
      </c>
      <c r="G49" s="34" t="n">
        <v>35371.458</v>
      </c>
      <c r="H49" s="4" t="s">
        <v>324</v>
      </c>
    </row>
    <row r="50" customFormat="false" ht="15" hidden="false" customHeight="false" outlineLevel="0" collapsed="false">
      <c r="A50" s="4" t="s">
        <v>65</v>
      </c>
      <c r="B50" s="31" t="n">
        <v>1009390</v>
      </c>
      <c r="C50" s="4" t="s">
        <v>380</v>
      </c>
      <c r="D50" s="4" t="s">
        <v>311</v>
      </c>
      <c r="E50" s="4" t="s">
        <v>331</v>
      </c>
      <c r="F50" s="32" t="n">
        <v>1</v>
      </c>
      <c r="G50" s="34" t="n">
        <v>664642.61</v>
      </c>
      <c r="H50" s="4" t="s">
        <v>324</v>
      </c>
    </row>
    <row r="51" customFormat="false" ht="15" hidden="false" customHeight="false" outlineLevel="0" collapsed="false">
      <c r="A51" s="4" t="s">
        <v>65</v>
      </c>
      <c r="B51" s="31" t="n">
        <v>1004135</v>
      </c>
      <c r="C51" s="4" t="s">
        <v>381</v>
      </c>
      <c r="D51" s="4" t="s">
        <v>311</v>
      </c>
      <c r="E51" s="4" t="s">
        <v>308</v>
      </c>
      <c r="F51" s="32" t="n">
        <v>1</v>
      </c>
      <c r="G51" s="33"/>
      <c r="H51" s="4" t="s">
        <v>315</v>
      </c>
    </row>
    <row r="52" customFormat="false" ht="15" hidden="false" customHeight="false" outlineLevel="0" collapsed="false">
      <c r="A52" s="4" t="s">
        <v>65</v>
      </c>
      <c r="B52" s="31" t="n">
        <v>1013949</v>
      </c>
      <c r="C52" s="4" t="s">
        <v>382</v>
      </c>
      <c r="D52" s="4" t="s">
        <v>346</v>
      </c>
      <c r="E52" s="4" t="s">
        <v>331</v>
      </c>
      <c r="F52" s="32" t="n">
        <v>1</v>
      </c>
      <c r="G52" s="33"/>
      <c r="H52" s="4" t="s">
        <v>324</v>
      </c>
    </row>
    <row r="53" customFormat="false" ht="15" hidden="false" customHeight="false" outlineLevel="0" collapsed="false">
      <c r="A53" s="4" t="s">
        <v>65</v>
      </c>
      <c r="B53" s="31" t="n">
        <v>1009740</v>
      </c>
      <c r="C53" s="4" t="s">
        <v>383</v>
      </c>
      <c r="D53" s="4" t="s">
        <v>311</v>
      </c>
      <c r="E53" s="4" t="s">
        <v>331</v>
      </c>
      <c r="F53" s="32" t="n">
        <v>1</v>
      </c>
      <c r="G53" s="33"/>
      <c r="H53" s="4" t="s">
        <v>324</v>
      </c>
    </row>
    <row r="54" customFormat="false" ht="15" hidden="false" customHeight="false" outlineLevel="0" collapsed="false">
      <c r="A54" s="4" t="s">
        <v>65</v>
      </c>
      <c r="B54" s="31" t="n">
        <v>1005789</v>
      </c>
      <c r="C54" s="4" t="s">
        <v>384</v>
      </c>
      <c r="D54" s="4" t="s">
        <v>307</v>
      </c>
      <c r="E54" s="4" t="s">
        <v>328</v>
      </c>
      <c r="F54" s="32" t="n">
        <v>0.0253</v>
      </c>
      <c r="G54" s="34" t="n">
        <v>492806.818</v>
      </c>
      <c r="H54" s="4" t="s">
        <v>370</v>
      </c>
    </row>
    <row r="55" customFormat="false" ht="15" hidden="false" customHeight="false" outlineLevel="0" collapsed="false">
      <c r="A55" s="4" t="s">
        <v>65</v>
      </c>
      <c r="B55" s="31" t="n">
        <v>1002150</v>
      </c>
      <c r="C55" s="4" t="s">
        <v>385</v>
      </c>
      <c r="D55" s="4" t="s">
        <v>386</v>
      </c>
      <c r="E55" s="4" t="s">
        <v>331</v>
      </c>
      <c r="F55" s="32" t="n">
        <v>1</v>
      </c>
      <c r="G55" s="34" t="n">
        <v>3590625.836</v>
      </c>
      <c r="H55" s="4" t="s">
        <v>324</v>
      </c>
    </row>
    <row r="56" customFormat="false" ht="15" hidden="false" customHeight="false" outlineLevel="0" collapsed="false">
      <c r="A56" s="4" t="s">
        <v>65</v>
      </c>
      <c r="B56" s="31" t="n">
        <v>1003267</v>
      </c>
      <c r="C56" s="4" t="s">
        <v>387</v>
      </c>
      <c r="D56" s="4" t="s">
        <v>311</v>
      </c>
      <c r="E56" s="4" t="s">
        <v>331</v>
      </c>
      <c r="F56" s="32" t="n">
        <v>0.6667</v>
      </c>
      <c r="G56" s="34" t="n">
        <v>86192.468</v>
      </c>
      <c r="H56" s="4" t="s">
        <v>388</v>
      </c>
    </row>
    <row r="57" customFormat="false" ht="15" hidden="false" customHeight="false" outlineLevel="0" collapsed="false">
      <c r="A57" s="4" t="s">
        <v>65</v>
      </c>
      <c r="B57" s="31" t="n">
        <v>1012560</v>
      </c>
      <c r="C57" s="4" t="s">
        <v>389</v>
      </c>
      <c r="D57" s="4" t="s">
        <v>348</v>
      </c>
      <c r="E57" s="4" t="s">
        <v>331</v>
      </c>
      <c r="F57" s="32" t="n">
        <v>1</v>
      </c>
      <c r="G57" s="34" t="n">
        <v>156469.836</v>
      </c>
      <c r="H57" s="4" t="s">
        <v>324</v>
      </c>
    </row>
    <row r="58" customFormat="false" ht="15" hidden="false" customHeight="false" outlineLevel="0" collapsed="false">
      <c r="A58" s="4" t="s">
        <v>65</v>
      </c>
      <c r="B58" s="31" t="n">
        <v>1008116</v>
      </c>
      <c r="C58" s="4" t="s">
        <v>390</v>
      </c>
      <c r="D58" s="4" t="s">
        <v>348</v>
      </c>
      <c r="E58" s="4" t="s">
        <v>331</v>
      </c>
      <c r="F58" s="32" t="n">
        <v>1</v>
      </c>
      <c r="G58" s="34" t="n">
        <v>33114.85</v>
      </c>
      <c r="H58" s="4" t="s">
        <v>324</v>
      </c>
    </row>
    <row r="59" customFormat="false" ht="15" hidden="false" customHeight="false" outlineLevel="0" collapsed="false">
      <c r="A59" s="4" t="s">
        <v>65</v>
      </c>
      <c r="B59" s="31" t="n">
        <v>1013844</v>
      </c>
      <c r="C59" s="4" t="s">
        <v>391</v>
      </c>
      <c r="D59" s="4" t="s">
        <v>311</v>
      </c>
      <c r="E59" s="4" t="s">
        <v>85</v>
      </c>
      <c r="F59" s="32" t="n">
        <v>0.1999</v>
      </c>
      <c r="G59" s="34" t="n">
        <v>129426.718</v>
      </c>
      <c r="H59" s="4" t="s">
        <v>312</v>
      </c>
    </row>
    <row r="60" customFormat="false" ht="15" hidden="false" customHeight="false" outlineLevel="0" collapsed="false">
      <c r="A60" s="4" t="s">
        <v>65</v>
      </c>
      <c r="B60" s="31" t="n">
        <v>1007410</v>
      </c>
      <c r="C60" s="4" t="s">
        <v>392</v>
      </c>
      <c r="D60" s="4" t="s">
        <v>322</v>
      </c>
      <c r="E60" s="4" t="s">
        <v>331</v>
      </c>
      <c r="F60" s="32" t="n">
        <v>0.0304</v>
      </c>
      <c r="G60" s="33"/>
      <c r="H60" s="4" t="s">
        <v>393</v>
      </c>
    </row>
    <row r="61" customFormat="false" ht="15" hidden="false" customHeight="false" outlineLevel="0" collapsed="false">
      <c r="A61" s="4" t="s">
        <v>65</v>
      </c>
      <c r="B61" s="31" t="n">
        <v>1005749</v>
      </c>
      <c r="C61" s="4" t="s">
        <v>394</v>
      </c>
      <c r="D61" s="4" t="s">
        <v>335</v>
      </c>
      <c r="E61" s="4" t="s">
        <v>308</v>
      </c>
      <c r="F61" s="32" t="n">
        <v>1</v>
      </c>
      <c r="G61" s="33"/>
      <c r="H61" s="4" t="s">
        <v>315</v>
      </c>
    </row>
    <row r="62" customFormat="false" ht="15" hidden="false" customHeight="false" outlineLevel="0" collapsed="false">
      <c r="A62" s="4" t="s">
        <v>65</v>
      </c>
      <c r="B62" s="31" t="n">
        <v>1005001</v>
      </c>
      <c r="C62" s="4" t="s">
        <v>395</v>
      </c>
      <c r="D62" s="4" t="s">
        <v>307</v>
      </c>
      <c r="E62" s="4" t="s">
        <v>328</v>
      </c>
      <c r="F62" s="32" t="n">
        <v>0.0253</v>
      </c>
      <c r="G62" s="34" t="n">
        <v>77506.66</v>
      </c>
      <c r="H62" s="4" t="s">
        <v>370</v>
      </c>
    </row>
    <row r="63" customFormat="false" ht="15" hidden="false" customHeight="false" outlineLevel="0" collapsed="false">
      <c r="A63" s="4" t="s">
        <v>65</v>
      </c>
      <c r="B63" s="31" t="n">
        <v>1003128</v>
      </c>
      <c r="C63" s="4" t="s">
        <v>396</v>
      </c>
      <c r="D63" s="4" t="s">
        <v>311</v>
      </c>
      <c r="E63" s="4" t="s">
        <v>328</v>
      </c>
      <c r="F63" s="32" t="n">
        <v>0.23</v>
      </c>
      <c r="G63" s="34" t="n">
        <v>61563.136</v>
      </c>
      <c r="H63" s="4" t="s">
        <v>397</v>
      </c>
    </row>
    <row r="64" customFormat="false" ht="15" hidden="false" customHeight="false" outlineLevel="0" collapsed="false">
      <c r="A64" s="4" t="s">
        <v>65</v>
      </c>
      <c r="B64" s="31" t="n">
        <v>1006270</v>
      </c>
      <c r="C64" s="4" t="s">
        <v>398</v>
      </c>
      <c r="D64" s="4" t="s">
        <v>322</v>
      </c>
      <c r="E64" s="4" t="s">
        <v>331</v>
      </c>
      <c r="F64" s="32" t="n">
        <v>1</v>
      </c>
      <c r="G64" s="34" t="n">
        <v>221340.406</v>
      </c>
      <c r="H64" s="4" t="s">
        <v>324</v>
      </c>
    </row>
    <row r="65" customFormat="false" ht="15" hidden="false" customHeight="false" outlineLevel="0" collapsed="false">
      <c r="A65" s="4" t="s">
        <v>65</v>
      </c>
      <c r="B65" s="31" t="n">
        <v>1008952</v>
      </c>
      <c r="C65" s="4" t="s">
        <v>399</v>
      </c>
      <c r="D65" s="4" t="s">
        <v>311</v>
      </c>
      <c r="E65" s="4" t="s">
        <v>308</v>
      </c>
      <c r="F65" s="32" t="n">
        <v>1</v>
      </c>
      <c r="G65" s="33"/>
      <c r="H65" s="4" t="s">
        <v>355</v>
      </c>
    </row>
    <row r="66" customFormat="false" ht="15" hidden="false" customHeight="false" outlineLevel="0" collapsed="false">
      <c r="A66" s="4" t="s">
        <v>65</v>
      </c>
      <c r="B66" s="31" t="n">
        <v>1005317</v>
      </c>
      <c r="C66" s="4" t="s">
        <v>400</v>
      </c>
      <c r="D66" s="4" t="s">
        <v>346</v>
      </c>
      <c r="E66" s="4" t="s">
        <v>308</v>
      </c>
      <c r="F66" s="32" t="n">
        <v>1</v>
      </c>
      <c r="G66" s="33"/>
      <c r="H66" s="4" t="s">
        <v>315</v>
      </c>
    </row>
    <row r="67" customFormat="false" ht="15" hidden="false" customHeight="false" outlineLevel="0" collapsed="false">
      <c r="A67" s="4" t="s">
        <v>65</v>
      </c>
      <c r="B67" s="31" t="n">
        <v>1002155</v>
      </c>
      <c r="C67" s="4" t="s">
        <v>401</v>
      </c>
      <c r="D67" s="4" t="s">
        <v>402</v>
      </c>
      <c r="E67" s="4" t="s">
        <v>308</v>
      </c>
      <c r="F67" s="32" t="n">
        <v>0.482</v>
      </c>
      <c r="G67" s="33"/>
      <c r="H67" s="4" t="s">
        <v>403</v>
      </c>
    </row>
    <row r="68" customFormat="false" ht="15" hidden="false" customHeight="false" outlineLevel="0" collapsed="false">
      <c r="A68" s="4" t="s">
        <v>65</v>
      </c>
      <c r="B68" s="31" t="n">
        <v>1010908</v>
      </c>
      <c r="C68" s="4" t="s">
        <v>404</v>
      </c>
      <c r="D68" s="4" t="s">
        <v>335</v>
      </c>
      <c r="E68" s="4" t="s">
        <v>308</v>
      </c>
      <c r="F68" s="32" t="n">
        <v>1</v>
      </c>
      <c r="G68" s="33"/>
      <c r="H68" s="4" t="s">
        <v>315</v>
      </c>
    </row>
    <row r="69" customFormat="false" ht="15" hidden="false" customHeight="false" outlineLevel="0" collapsed="false">
      <c r="A69" s="4" t="s">
        <v>65</v>
      </c>
      <c r="B69" s="31" t="n">
        <v>1010907</v>
      </c>
      <c r="C69" s="4" t="s">
        <v>405</v>
      </c>
      <c r="D69" s="4" t="s">
        <v>335</v>
      </c>
      <c r="E69" s="4" t="s">
        <v>308</v>
      </c>
      <c r="F69" s="32" t="n">
        <v>1</v>
      </c>
      <c r="G69" s="33"/>
      <c r="H69" s="4" t="s">
        <v>315</v>
      </c>
    </row>
    <row r="70" customFormat="false" ht="15" hidden="false" customHeight="false" outlineLevel="0" collapsed="false">
      <c r="A70" s="4" t="s">
        <v>65</v>
      </c>
      <c r="B70" s="31" t="n">
        <v>1002688</v>
      </c>
      <c r="C70" s="4" t="s">
        <v>406</v>
      </c>
      <c r="D70" s="4" t="s">
        <v>407</v>
      </c>
      <c r="E70" s="4" t="s">
        <v>328</v>
      </c>
      <c r="F70" s="32" t="n">
        <v>0.5</v>
      </c>
      <c r="G70" s="34" t="n">
        <v>233829</v>
      </c>
      <c r="H70" s="4" t="s">
        <v>408</v>
      </c>
    </row>
    <row r="71" customFormat="false" ht="15" hidden="false" customHeight="false" outlineLevel="0" collapsed="false">
      <c r="A71" s="4" t="s">
        <v>65</v>
      </c>
      <c r="B71" s="31" t="n">
        <v>1010458</v>
      </c>
      <c r="C71" s="4" t="s">
        <v>409</v>
      </c>
      <c r="D71" s="4" t="s">
        <v>311</v>
      </c>
      <c r="E71" s="4" t="s">
        <v>101</v>
      </c>
      <c r="F71" s="32" t="n">
        <v>1</v>
      </c>
      <c r="G71" s="34" t="n">
        <v>453694.49</v>
      </c>
      <c r="H71" s="4" t="s">
        <v>324</v>
      </c>
    </row>
    <row r="72" customFormat="false" ht="15" hidden="false" customHeight="false" outlineLevel="0" collapsed="false">
      <c r="A72" s="4" t="s">
        <v>65</v>
      </c>
      <c r="B72" s="31" t="n">
        <v>1008616</v>
      </c>
      <c r="C72" s="4" t="s">
        <v>410</v>
      </c>
      <c r="D72" s="4" t="s">
        <v>335</v>
      </c>
      <c r="E72" s="4" t="s">
        <v>331</v>
      </c>
      <c r="F72" s="32" t="n">
        <v>1</v>
      </c>
      <c r="G72" s="34" t="n">
        <v>242106.756</v>
      </c>
      <c r="H72" s="4" t="s">
        <v>324</v>
      </c>
    </row>
    <row r="73" customFormat="false" ht="15" hidden="false" customHeight="false" outlineLevel="0" collapsed="false">
      <c r="A73" s="4" t="s">
        <v>65</v>
      </c>
      <c r="B73" s="31" t="n">
        <v>1008954</v>
      </c>
      <c r="C73" s="4" t="s">
        <v>411</v>
      </c>
      <c r="D73" s="4" t="s">
        <v>311</v>
      </c>
      <c r="E73" s="4" t="s">
        <v>331</v>
      </c>
      <c r="F73" s="32" t="n">
        <v>1</v>
      </c>
      <c r="G73" s="34" t="n">
        <v>6930.5</v>
      </c>
      <c r="H73" s="4" t="s">
        <v>324</v>
      </c>
    </row>
    <row r="74" customFormat="false" ht="15" hidden="false" customHeight="false" outlineLevel="0" collapsed="false">
      <c r="A74" s="4" t="s">
        <v>65</v>
      </c>
      <c r="B74" s="31" t="n">
        <v>1008275</v>
      </c>
      <c r="C74" s="4" t="s">
        <v>412</v>
      </c>
      <c r="D74" s="4" t="s">
        <v>351</v>
      </c>
      <c r="E74" s="4" t="s">
        <v>331</v>
      </c>
      <c r="F74" s="32" t="n">
        <v>1</v>
      </c>
      <c r="G74" s="34" t="n">
        <v>533986.07</v>
      </c>
      <c r="H74" s="4" t="s">
        <v>324</v>
      </c>
    </row>
    <row r="75" customFormat="false" ht="15" hidden="false" customHeight="false" outlineLevel="0" collapsed="false">
      <c r="A75" s="4" t="s">
        <v>65</v>
      </c>
      <c r="B75" s="31" t="n">
        <v>1010459</v>
      </c>
      <c r="C75" s="4" t="s">
        <v>413</v>
      </c>
      <c r="D75" s="4" t="s">
        <v>311</v>
      </c>
      <c r="E75" s="4" t="s">
        <v>70</v>
      </c>
      <c r="F75" s="32" t="n">
        <v>1</v>
      </c>
      <c r="G75" s="34" t="n">
        <v>51889010.6346794</v>
      </c>
      <c r="H75" s="4" t="s">
        <v>324</v>
      </c>
    </row>
    <row r="76" customFormat="false" ht="15" hidden="false" customHeight="false" outlineLevel="0" collapsed="false">
      <c r="A76" s="4" t="s">
        <v>65</v>
      </c>
      <c r="B76" s="31" t="n">
        <v>1009739</v>
      </c>
      <c r="C76" s="4" t="s">
        <v>414</v>
      </c>
      <c r="D76" s="4" t="s">
        <v>311</v>
      </c>
      <c r="E76" s="4" t="s">
        <v>331</v>
      </c>
      <c r="F76" s="32" t="n">
        <v>1</v>
      </c>
      <c r="G76" s="33"/>
      <c r="H76" s="4" t="s">
        <v>324</v>
      </c>
    </row>
    <row r="77" customFormat="false" ht="15" hidden="false" customHeight="false" outlineLevel="0" collapsed="false">
      <c r="A77" s="4" t="s">
        <v>65</v>
      </c>
      <c r="B77" s="31" t="n">
        <v>1005357</v>
      </c>
      <c r="C77" s="4" t="s">
        <v>415</v>
      </c>
      <c r="D77" s="4" t="s">
        <v>311</v>
      </c>
      <c r="E77" s="4" t="s">
        <v>308</v>
      </c>
      <c r="F77" s="32" t="n">
        <v>1</v>
      </c>
      <c r="G77" s="33"/>
      <c r="H77" s="4" t="s">
        <v>315</v>
      </c>
    </row>
    <row r="78" customFormat="false" ht="15" hidden="false" customHeight="false" outlineLevel="0" collapsed="false">
      <c r="A78" s="4" t="s">
        <v>65</v>
      </c>
      <c r="B78" s="31" t="n">
        <v>1004422</v>
      </c>
      <c r="C78" s="4" t="s">
        <v>416</v>
      </c>
      <c r="D78" s="4" t="s">
        <v>307</v>
      </c>
      <c r="E78" s="4" t="s">
        <v>328</v>
      </c>
      <c r="F78" s="32" t="n">
        <v>0.0253</v>
      </c>
      <c r="G78" s="34" t="n">
        <v>293507.848</v>
      </c>
      <c r="H78" s="4" t="s">
        <v>370</v>
      </c>
    </row>
    <row r="79" customFormat="false" ht="15" hidden="false" customHeight="false" outlineLevel="0" collapsed="false">
      <c r="A79" s="4" t="s">
        <v>65</v>
      </c>
      <c r="B79" s="31" t="n">
        <v>1009751</v>
      </c>
      <c r="C79" s="4" t="s">
        <v>417</v>
      </c>
      <c r="D79" s="4" t="s">
        <v>311</v>
      </c>
      <c r="E79" s="4" t="s">
        <v>331</v>
      </c>
      <c r="F79" s="32" t="n">
        <v>1</v>
      </c>
      <c r="G79" s="33"/>
      <c r="H79" s="4" t="s">
        <v>324</v>
      </c>
    </row>
    <row r="80" customFormat="false" ht="15" hidden="false" customHeight="false" outlineLevel="0" collapsed="false">
      <c r="A80" s="4" t="s">
        <v>65</v>
      </c>
      <c r="B80" s="31" t="n">
        <v>1001805</v>
      </c>
      <c r="C80" s="4" t="s">
        <v>418</v>
      </c>
      <c r="D80" s="4" t="s">
        <v>322</v>
      </c>
      <c r="E80" s="4" t="s">
        <v>331</v>
      </c>
      <c r="F80" s="32" t="n">
        <v>0.1052</v>
      </c>
      <c r="G80" s="34" t="n">
        <v>3823.536</v>
      </c>
      <c r="H80" s="4" t="s">
        <v>419</v>
      </c>
    </row>
    <row r="81" customFormat="false" ht="15" hidden="false" customHeight="false" outlineLevel="0" collapsed="false">
      <c r="A81" s="4" t="s">
        <v>65</v>
      </c>
      <c r="B81" s="31" t="n">
        <v>1005757</v>
      </c>
      <c r="C81" s="4" t="s">
        <v>420</v>
      </c>
      <c r="D81" s="4" t="s">
        <v>346</v>
      </c>
      <c r="E81" s="4" t="s">
        <v>308</v>
      </c>
      <c r="F81" s="32" t="n">
        <v>1</v>
      </c>
      <c r="G81" s="33"/>
      <c r="H81" s="4" t="s">
        <v>315</v>
      </c>
    </row>
    <row r="82" customFormat="false" ht="15" hidden="false" customHeight="false" outlineLevel="0" collapsed="false">
      <c r="A82" s="4" t="s">
        <v>65</v>
      </c>
      <c r="B82" s="31" t="n">
        <v>1011831</v>
      </c>
      <c r="C82" s="4" t="s">
        <v>421</v>
      </c>
      <c r="D82" s="4" t="s">
        <v>307</v>
      </c>
      <c r="E82" s="4" t="s">
        <v>331</v>
      </c>
      <c r="F82" s="32" t="n">
        <v>0.6237</v>
      </c>
      <c r="G82" s="33"/>
      <c r="H82" s="4" t="s">
        <v>422</v>
      </c>
    </row>
    <row r="83" customFormat="false" ht="15" hidden="false" customHeight="false" outlineLevel="0" collapsed="false">
      <c r="A83" s="4" t="s">
        <v>65</v>
      </c>
      <c r="B83" s="31" t="n">
        <v>1004727</v>
      </c>
      <c r="C83" s="4" t="s">
        <v>423</v>
      </c>
      <c r="D83" s="4" t="s">
        <v>322</v>
      </c>
      <c r="E83" s="4" t="s">
        <v>331</v>
      </c>
      <c r="F83" s="32" t="n">
        <v>0.0852</v>
      </c>
      <c r="G83" s="33"/>
      <c r="H83" s="4" t="s">
        <v>424</v>
      </c>
    </row>
    <row r="84" customFormat="false" ht="15" hidden="false" customHeight="false" outlineLevel="0" collapsed="false">
      <c r="A84" s="4" t="s">
        <v>65</v>
      </c>
      <c r="B84" s="31" t="n">
        <v>1008079</v>
      </c>
      <c r="C84" s="4" t="s">
        <v>425</v>
      </c>
      <c r="D84" s="4" t="s">
        <v>311</v>
      </c>
      <c r="E84" s="4" t="s">
        <v>331</v>
      </c>
      <c r="F84" s="32" t="n">
        <v>1</v>
      </c>
      <c r="G84" s="34" t="n">
        <v>311004.322</v>
      </c>
      <c r="H84" s="4" t="s">
        <v>324</v>
      </c>
    </row>
    <row r="85" customFormat="false" ht="15" hidden="false" customHeight="false" outlineLevel="0" collapsed="false">
      <c r="A85" s="4" t="s">
        <v>65</v>
      </c>
      <c r="B85" s="31" t="n">
        <v>1012539</v>
      </c>
      <c r="C85" s="4" t="s">
        <v>426</v>
      </c>
      <c r="D85" s="4" t="s">
        <v>335</v>
      </c>
      <c r="E85" s="4" t="s">
        <v>331</v>
      </c>
      <c r="F85" s="32" t="n">
        <v>1</v>
      </c>
      <c r="G85" s="34" t="n">
        <v>12755.99</v>
      </c>
      <c r="H85" s="4" t="s">
        <v>324</v>
      </c>
    </row>
    <row r="86" customFormat="false" ht="15" hidden="false" customHeight="false" outlineLevel="0" collapsed="false">
      <c r="A86" s="4" t="s">
        <v>65</v>
      </c>
      <c r="B86" s="31" t="n">
        <v>1003677</v>
      </c>
      <c r="C86" s="4" t="s">
        <v>427</v>
      </c>
      <c r="D86" s="4" t="s">
        <v>322</v>
      </c>
      <c r="E86" s="4" t="s">
        <v>328</v>
      </c>
      <c r="F86" s="32" t="n">
        <v>0.403787</v>
      </c>
      <c r="G86" s="33"/>
      <c r="H86" s="4" t="s">
        <v>428</v>
      </c>
    </row>
    <row r="87" customFormat="false" ht="15" hidden="false" customHeight="false" outlineLevel="0" collapsed="false">
      <c r="A87" s="4" t="s">
        <v>65</v>
      </c>
      <c r="B87" s="31" t="n">
        <v>1002686</v>
      </c>
      <c r="C87" s="4" t="s">
        <v>429</v>
      </c>
      <c r="D87" s="4" t="s">
        <v>333</v>
      </c>
      <c r="E87" s="4" t="s">
        <v>328</v>
      </c>
      <c r="F87" s="32" t="n">
        <v>0.02</v>
      </c>
      <c r="G87" s="34" t="n">
        <v>2521682</v>
      </c>
      <c r="H87" s="4" t="s">
        <v>430</v>
      </c>
    </row>
    <row r="88" customFormat="false" ht="15" hidden="false" customHeight="false" outlineLevel="0" collapsed="false">
      <c r="A88" s="4" t="s">
        <v>65</v>
      </c>
      <c r="B88" s="31" t="n">
        <v>1010914</v>
      </c>
      <c r="C88" s="4" t="s">
        <v>431</v>
      </c>
      <c r="D88" s="4" t="s">
        <v>346</v>
      </c>
      <c r="E88" s="4" t="s">
        <v>331</v>
      </c>
      <c r="F88" s="32" t="n">
        <v>1</v>
      </c>
      <c r="G88" s="33"/>
      <c r="H88" s="4" t="s">
        <v>324</v>
      </c>
    </row>
    <row r="89" customFormat="false" ht="15" hidden="false" customHeight="false" outlineLevel="0" collapsed="false">
      <c r="A89" s="4" t="s">
        <v>65</v>
      </c>
      <c r="B89" s="31" t="n">
        <v>1009082</v>
      </c>
      <c r="C89" s="4" t="s">
        <v>432</v>
      </c>
      <c r="D89" s="4" t="s">
        <v>311</v>
      </c>
      <c r="E89" s="4" t="s">
        <v>331</v>
      </c>
      <c r="F89" s="32" t="n">
        <v>1</v>
      </c>
      <c r="G89" s="34" t="n">
        <v>102459.024</v>
      </c>
      <c r="H89" s="4" t="s">
        <v>324</v>
      </c>
    </row>
    <row r="90" customFormat="false" ht="15" hidden="false" customHeight="false" outlineLevel="0" collapsed="false">
      <c r="A90" s="4" t="s">
        <v>65</v>
      </c>
      <c r="B90" s="31" t="n">
        <v>1009392</v>
      </c>
      <c r="C90" s="4" t="s">
        <v>433</v>
      </c>
      <c r="D90" s="4" t="s">
        <v>335</v>
      </c>
      <c r="E90" s="4" t="s">
        <v>331</v>
      </c>
      <c r="F90" s="32" t="n">
        <v>1</v>
      </c>
      <c r="G90" s="34" t="n">
        <v>27229.15</v>
      </c>
      <c r="H90" s="4" t="s">
        <v>324</v>
      </c>
    </row>
    <row r="91" customFormat="false" ht="15" hidden="false" customHeight="false" outlineLevel="0" collapsed="false">
      <c r="A91" s="4" t="s">
        <v>65</v>
      </c>
      <c r="B91" s="31" t="n">
        <v>1012541</v>
      </c>
      <c r="C91" s="4" t="s">
        <v>434</v>
      </c>
      <c r="D91" s="4" t="s">
        <v>311</v>
      </c>
      <c r="E91" s="4" t="s">
        <v>331</v>
      </c>
      <c r="F91" s="32" t="n">
        <v>1</v>
      </c>
      <c r="G91" s="34" t="n">
        <v>2304658.018</v>
      </c>
      <c r="H91" s="4" t="s">
        <v>324</v>
      </c>
    </row>
    <row r="92" customFormat="false" ht="15" hidden="false" customHeight="false" outlineLevel="0" collapsed="false">
      <c r="A92" s="4" t="s">
        <v>65</v>
      </c>
      <c r="B92" s="31" t="n">
        <v>1013825</v>
      </c>
      <c r="C92" s="4" t="s">
        <v>435</v>
      </c>
      <c r="D92" s="4" t="s">
        <v>311</v>
      </c>
      <c r="E92" s="4" t="s">
        <v>85</v>
      </c>
      <c r="F92" s="32" t="n">
        <v>0.2</v>
      </c>
      <c r="G92" s="34" t="n">
        <v>65319.05</v>
      </c>
      <c r="H92" s="4" t="s">
        <v>320</v>
      </c>
    </row>
    <row r="93" customFormat="false" ht="15" hidden="false" customHeight="false" outlineLevel="0" collapsed="false">
      <c r="A93" s="4" t="s">
        <v>65</v>
      </c>
      <c r="B93" s="31" t="n">
        <v>1004146</v>
      </c>
      <c r="C93" s="4" t="s">
        <v>436</v>
      </c>
      <c r="D93" s="4" t="s">
        <v>311</v>
      </c>
      <c r="E93" s="4" t="s">
        <v>308</v>
      </c>
      <c r="F93" s="32" t="n">
        <v>1</v>
      </c>
      <c r="G93" s="33"/>
      <c r="H93" s="4" t="s">
        <v>315</v>
      </c>
    </row>
    <row r="94" customFormat="false" ht="15" hidden="false" customHeight="false" outlineLevel="0" collapsed="false">
      <c r="A94" s="4" t="s">
        <v>65</v>
      </c>
      <c r="B94" s="31" t="n">
        <v>1014575</v>
      </c>
      <c r="C94" s="4" t="s">
        <v>437</v>
      </c>
      <c r="D94" s="4" t="s">
        <v>322</v>
      </c>
      <c r="E94" s="4" t="s">
        <v>323</v>
      </c>
      <c r="F94" s="32" t="n">
        <v>1</v>
      </c>
      <c r="G94" s="34" t="n">
        <v>24493.208</v>
      </c>
      <c r="H94" s="4" t="s">
        <v>324</v>
      </c>
    </row>
    <row r="95" customFormat="false" ht="15" hidden="false" customHeight="false" outlineLevel="0" collapsed="false">
      <c r="A95" s="4" t="s">
        <v>65</v>
      </c>
      <c r="B95" s="31" t="n">
        <v>1008949</v>
      </c>
      <c r="C95" s="4" t="s">
        <v>438</v>
      </c>
      <c r="D95" s="4" t="s">
        <v>311</v>
      </c>
      <c r="E95" s="4" t="s">
        <v>308</v>
      </c>
      <c r="F95" s="32" t="n">
        <v>1</v>
      </c>
      <c r="G95" s="33"/>
      <c r="H95" s="4" t="s">
        <v>324</v>
      </c>
    </row>
    <row r="96" customFormat="false" ht="15" hidden="false" customHeight="false" outlineLevel="0" collapsed="false">
      <c r="A96" s="4" t="s">
        <v>65</v>
      </c>
      <c r="B96" s="31" t="n">
        <v>1013012</v>
      </c>
      <c r="C96" s="4" t="s">
        <v>439</v>
      </c>
      <c r="D96" s="4" t="s">
        <v>311</v>
      </c>
      <c r="E96" s="4" t="s">
        <v>331</v>
      </c>
      <c r="F96" s="32" t="n">
        <v>1</v>
      </c>
      <c r="G96" s="33"/>
      <c r="H96" s="4" t="s">
        <v>315</v>
      </c>
    </row>
    <row r="97" customFormat="false" ht="15" hidden="false" customHeight="false" outlineLevel="0" collapsed="false">
      <c r="A97" s="4" t="s">
        <v>65</v>
      </c>
      <c r="B97" s="31" t="n">
        <v>1004139</v>
      </c>
      <c r="C97" s="4" t="s">
        <v>440</v>
      </c>
      <c r="D97" s="4" t="s">
        <v>311</v>
      </c>
      <c r="E97" s="4" t="s">
        <v>308</v>
      </c>
      <c r="F97" s="32" t="n">
        <v>1</v>
      </c>
      <c r="G97" s="33"/>
      <c r="H97" s="4" t="s">
        <v>315</v>
      </c>
    </row>
    <row r="98" customFormat="false" ht="15" hidden="false" customHeight="false" outlineLevel="0" collapsed="false">
      <c r="A98" s="4" t="s">
        <v>65</v>
      </c>
      <c r="B98" s="31" t="n">
        <v>1005401</v>
      </c>
      <c r="C98" s="4" t="s">
        <v>441</v>
      </c>
      <c r="D98" s="4" t="s">
        <v>407</v>
      </c>
      <c r="E98" s="4" t="s">
        <v>308</v>
      </c>
      <c r="F98" s="32" t="n">
        <v>1</v>
      </c>
      <c r="G98" s="33"/>
      <c r="H98" s="4" t="s">
        <v>315</v>
      </c>
    </row>
    <row r="99" customFormat="false" ht="15" hidden="false" customHeight="false" outlineLevel="0" collapsed="false">
      <c r="A99" s="4" t="s">
        <v>65</v>
      </c>
      <c r="B99" s="31" t="n">
        <v>1001873</v>
      </c>
      <c r="C99" s="4" t="s">
        <v>442</v>
      </c>
      <c r="D99" s="4" t="s">
        <v>307</v>
      </c>
      <c r="E99" s="4" t="s">
        <v>308</v>
      </c>
      <c r="F99" s="32" t="n">
        <v>0.364</v>
      </c>
      <c r="G99" s="33"/>
      <c r="H99" s="4" t="s">
        <v>309</v>
      </c>
    </row>
    <row r="100" customFormat="false" ht="15" hidden="false" customHeight="false" outlineLevel="0" collapsed="false">
      <c r="A100" s="4" t="s">
        <v>65</v>
      </c>
      <c r="B100" s="31" t="n">
        <v>1004144</v>
      </c>
      <c r="C100" s="4" t="s">
        <v>443</v>
      </c>
      <c r="D100" s="4" t="s">
        <v>311</v>
      </c>
      <c r="E100" s="4" t="s">
        <v>331</v>
      </c>
      <c r="F100" s="32" t="n">
        <v>1</v>
      </c>
      <c r="G100" s="34" t="n">
        <v>42016.834</v>
      </c>
      <c r="H100" s="4" t="s">
        <v>324</v>
      </c>
    </row>
    <row r="101" customFormat="false" ht="15" hidden="false" customHeight="false" outlineLevel="0" collapsed="false">
      <c r="A101" s="4" t="s">
        <v>65</v>
      </c>
      <c r="B101" s="31" t="n">
        <v>1005402</v>
      </c>
      <c r="C101" s="4" t="s">
        <v>444</v>
      </c>
      <c r="D101" s="4" t="s">
        <v>311</v>
      </c>
      <c r="E101" s="4" t="s">
        <v>308</v>
      </c>
      <c r="F101" s="32" t="n">
        <v>1</v>
      </c>
      <c r="G101" s="33"/>
      <c r="H101" s="4" t="s">
        <v>315</v>
      </c>
    </row>
    <row r="102" customFormat="false" ht="15" hidden="false" customHeight="false" outlineLevel="0" collapsed="false">
      <c r="A102" s="4" t="s">
        <v>65</v>
      </c>
      <c r="B102" s="31" t="n">
        <v>1012595</v>
      </c>
      <c r="C102" s="4" t="s">
        <v>445</v>
      </c>
      <c r="D102" s="4" t="s">
        <v>311</v>
      </c>
      <c r="E102" s="4" t="s">
        <v>331</v>
      </c>
      <c r="F102" s="32" t="n">
        <v>1</v>
      </c>
      <c r="G102" s="34" t="n">
        <v>428921.534</v>
      </c>
      <c r="H102" s="4" t="s">
        <v>324</v>
      </c>
    </row>
    <row r="103" customFormat="false" ht="15" hidden="false" customHeight="false" outlineLevel="0" collapsed="false">
      <c r="A103" s="4" t="s">
        <v>65</v>
      </c>
      <c r="B103" s="31" t="n">
        <v>1006720</v>
      </c>
      <c r="C103" s="4" t="s">
        <v>446</v>
      </c>
      <c r="D103" s="4" t="s">
        <v>311</v>
      </c>
      <c r="E103" s="4" t="s">
        <v>308</v>
      </c>
      <c r="F103" s="32" t="n">
        <v>1</v>
      </c>
      <c r="G103" s="33"/>
      <c r="H103" s="4" t="s">
        <v>315</v>
      </c>
    </row>
    <row r="104" customFormat="false" ht="15" hidden="false" customHeight="false" outlineLevel="0" collapsed="false">
      <c r="A104" s="4" t="s">
        <v>65</v>
      </c>
      <c r="B104" s="31" t="n">
        <v>1002384</v>
      </c>
      <c r="C104" s="4" t="s">
        <v>447</v>
      </c>
      <c r="D104" s="4" t="s">
        <v>402</v>
      </c>
      <c r="E104" s="4" t="s">
        <v>328</v>
      </c>
      <c r="F104" s="32" t="n">
        <v>1</v>
      </c>
      <c r="G104" s="33"/>
      <c r="H104" s="4" t="s">
        <v>324</v>
      </c>
    </row>
    <row r="105" customFormat="false" ht="15" hidden="false" customHeight="false" outlineLevel="0" collapsed="false">
      <c r="A105" s="4" t="s">
        <v>65</v>
      </c>
      <c r="B105" s="31" t="n">
        <v>1009387</v>
      </c>
      <c r="C105" s="4" t="s">
        <v>448</v>
      </c>
      <c r="D105" s="4" t="s">
        <v>311</v>
      </c>
      <c r="E105" s="4" t="s">
        <v>331</v>
      </c>
      <c r="F105" s="32" t="n">
        <v>1</v>
      </c>
      <c r="G105" s="33"/>
      <c r="H105" s="4" t="s">
        <v>324</v>
      </c>
    </row>
    <row r="106" customFormat="false" ht="15" hidden="false" customHeight="false" outlineLevel="0" collapsed="false">
      <c r="A106" s="4" t="s">
        <v>65</v>
      </c>
      <c r="B106" s="31" t="n">
        <v>1005031</v>
      </c>
      <c r="C106" s="4" t="s">
        <v>449</v>
      </c>
      <c r="D106" s="4" t="s">
        <v>322</v>
      </c>
      <c r="E106" s="4" t="s">
        <v>331</v>
      </c>
      <c r="F106" s="32" t="n">
        <v>0.1687</v>
      </c>
      <c r="G106" s="34" t="n">
        <v>2451468.838</v>
      </c>
      <c r="H106" s="4" t="s">
        <v>450</v>
      </c>
    </row>
    <row r="107" customFormat="false" ht="15" hidden="false" customHeight="false" outlineLevel="0" collapsed="false">
      <c r="A107" s="4" t="s">
        <v>65</v>
      </c>
      <c r="B107" s="31" t="n">
        <v>1012577</v>
      </c>
      <c r="C107" s="4" t="s">
        <v>451</v>
      </c>
      <c r="D107" s="4" t="s">
        <v>333</v>
      </c>
      <c r="E107" s="4" t="s">
        <v>331</v>
      </c>
      <c r="F107" s="32" t="n">
        <v>1</v>
      </c>
      <c r="G107" s="33"/>
      <c r="H107" s="4" t="s">
        <v>324</v>
      </c>
    </row>
    <row r="108" customFormat="false" ht="15" hidden="false" customHeight="false" outlineLevel="0" collapsed="false">
      <c r="A108" s="4" t="s">
        <v>65</v>
      </c>
      <c r="B108" s="31" t="n">
        <v>1012530</v>
      </c>
      <c r="C108" s="4" t="s">
        <v>452</v>
      </c>
      <c r="D108" s="4" t="s">
        <v>311</v>
      </c>
      <c r="E108" s="4" t="s">
        <v>331</v>
      </c>
      <c r="F108" s="32" t="n">
        <v>1</v>
      </c>
      <c r="G108" s="34" t="n">
        <v>37855.296</v>
      </c>
      <c r="H108" s="4" t="s">
        <v>324</v>
      </c>
    </row>
    <row r="109" customFormat="false" ht="15" hidden="false" customHeight="false" outlineLevel="0" collapsed="false">
      <c r="A109" s="4" t="s">
        <v>65</v>
      </c>
      <c r="B109" s="31" t="n">
        <v>1005071</v>
      </c>
      <c r="C109" s="4" t="s">
        <v>453</v>
      </c>
      <c r="D109" s="4" t="s">
        <v>322</v>
      </c>
      <c r="E109" s="4" t="s">
        <v>331</v>
      </c>
      <c r="F109" s="32" t="n">
        <v>0.0304</v>
      </c>
      <c r="G109" s="33"/>
      <c r="H109" s="4" t="s">
        <v>393</v>
      </c>
    </row>
    <row r="110" customFormat="false" ht="15" hidden="false" customHeight="false" outlineLevel="0" collapsed="false">
      <c r="A110" s="4" t="s">
        <v>65</v>
      </c>
      <c r="B110" s="31" t="n">
        <v>1009143</v>
      </c>
      <c r="C110" s="4" t="s">
        <v>454</v>
      </c>
      <c r="D110" s="4" t="s">
        <v>335</v>
      </c>
      <c r="E110" s="4" t="s">
        <v>331</v>
      </c>
      <c r="F110" s="32" t="n">
        <v>1</v>
      </c>
      <c r="G110" s="34" t="n">
        <v>65372.298</v>
      </c>
      <c r="H110" s="4" t="s">
        <v>324</v>
      </c>
    </row>
    <row r="111" customFormat="false" ht="15" hidden="false" customHeight="false" outlineLevel="0" collapsed="false">
      <c r="A111" s="4" t="s">
        <v>65</v>
      </c>
      <c r="B111" s="31" t="n">
        <v>1002673</v>
      </c>
      <c r="C111" s="4" t="s">
        <v>455</v>
      </c>
      <c r="D111" s="4" t="s">
        <v>407</v>
      </c>
      <c r="E111" s="4" t="s">
        <v>308</v>
      </c>
      <c r="F111" s="32" t="n">
        <v>1</v>
      </c>
      <c r="G111" s="33"/>
      <c r="H111" s="4" t="s">
        <v>324</v>
      </c>
    </row>
    <row r="112" customFormat="false" ht="15" hidden="false" customHeight="false" outlineLevel="0" collapsed="false">
      <c r="A112" s="4" t="s">
        <v>65</v>
      </c>
      <c r="B112" s="31" t="n">
        <v>1011425</v>
      </c>
      <c r="C112" s="4" t="s">
        <v>456</v>
      </c>
      <c r="D112" s="4" t="s">
        <v>322</v>
      </c>
      <c r="E112" s="4" t="s">
        <v>328</v>
      </c>
      <c r="F112" s="32" t="n">
        <v>0.1075</v>
      </c>
      <c r="G112" s="34" t="n">
        <v>194726.364</v>
      </c>
      <c r="H112" s="4" t="s">
        <v>457</v>
      </c>
    </row>
    <row r="113" customFormat="false" ht="15" hidden="false" customHeight="false" outlineLevel="0" collapsed="false">
      <c r="A113" s="4" t="s">
        <v>65</v>
      </c>
      <c r="B113" s="31" t="n">
        <v>1012459</v>
      </c>
      <c r="C113" s="4" t="s">
        <v>458</v>
      </c>
      <c r="D113" s="4" t="s">
        <v>386</v>
      </c>
      <c r="E113" s="4" t="s">
        <v>331</v>
      </c>
      <c r="F113" s="32" t="n">
        <v>1</v>
      </c>
      <c r="G113" s="34" t="n">
        <v>56013.086</v>
      </c>
      <c r="H113" s="4" t="s">
        <v>324</v>
      </c>
    </row>
    <row r="114" customFormat="false" ht="15" hidden="false" customHeight="false" outlineLevel="0" collapsed="false">
      <c r="A114" s="4" t="s">
        <v>65</v>
      </c>
      <c r="B114" s="31" t="n">
        <v>1004143</v>
      </c>
      <c r="C114" s="4" t="s">
        <v>459</v>
      </c>
      <c r="D114" s="4" t="s">
        <v>460</v>
      </c>
      <c r="E114" s="4" t="s">
        <v>331</v>
      </c>
      <c r="F114" s="32" t="n">
        <v>1</v>
      </c>
      <c r="G114" s="33"/>
      <c r="H114" s="4" t="s">
        <v>315</v>
      </c>
    </row>
    <row r="115" customFormat="false" ht="15" hidden="false" customHeight="false" outlineLevel="0" collapsed="false">
      <c r="A115" s="4" t="s">
        <v>65</v>
      </c>
      <c r="B115" s="31" t="n">
        <v>1010911</v>
      </c>
      <c r="C115" s="4" t="s">
        <v>461</v>
      </c>
      <c r="D115" s="4" t="s">
        <v>335</v>
      </c>
      <c r="E115" s="4" t="s">
        <v>308</v>
      </c>
      <c r="F115" s="32" t="n">
        <v>1</v>
      </c>
      <c r="G115" s="33"/>
      <c r="H115" s="4" t="s">
        <v>315</v>
      </c>
    </row>
    <row r="116" customFormat="false" ht="15" hidden="false" customHeight="false" outlineLevel="0" collapsed="false">
      <c r="A116" s="4" t="s">
        <v>65</v>
      </c>
      <c r="B116" s="31" t="n">
        <v>1006548</v>
      </c>
      <c r="C116" s="4" t="s">
        <v>462</v>
      </c>
      <c r="D116" s="4" t="s">
        <v>311</v>
      </c>
      <c r="E116" s="4" t="s">
        <v>308</v>
      </c>
      <c r="F116" s="32" t="n">
        <v>1</v>
      </c>
      <c r="G116" s="33"/>
      <c r="H116" s="4" t="s">
        <v>315</v>
      </c>
    </row>
    <row r="117" customFormat="false" ht="15" hidden="false" customHeight="false" outlineLevel="0" collapsed="false">
      <c r="A117" s="4" t="s">
        <v>65</v>
      </c>
      <c r="B117" s="31" t="n">
        <v>1010719</v>
      </c>
      <c r="C117" s="4" t="s">
        <v>463</v>
      </c>
      <c r="D117" s="4" t="s">
        <v>367</v>
      </c>
      <c r="E117" s="4" t="s">
        <v>331</v>
      </c>
      <c r="F117" s="32" t="n">
        <v>0.625</v>
      </c>
      <c r="G117" s="33"/>
      <c r="H117" s="4" t="s">
        <v>464</v>
      </c>
    </row>
    <row r="118" customFormat="false" ht="15" hidden="false" customHeight="false" outlineLevel="0" collapsed="false">
      <c r="A118" s="4" t="s">
        <v>65</v>
      </c>
      <c r="B118" s="31" t="n">
        <v>1004196</v>
      </c>
      <c r="C118" s="4" t="s">
        <v>465</v>
      </c>
      <c r="D118" s="4" t="s">
        <v>322</v>
      </c>
      <c r="E118" s="4" t="s">
        <v>308</v>
      </c>
      <c r="F118" s="32" t="n">
        <v>0.14828</v>
      </c>
      <c r="G118" s="33"/>
      <c r="H118" s="4" t="s">
        <v>466</v>
      </c>
    </row>
    <row r="119" customFormat="false" ht="15" hidden="false" customHeight="false" outlineLevel="0" collapsed="false">
      <c r="A119" s="4" t="s">
        <v>65</v>
      </c>
      <c r="B119" s="31" t="n">
        <v>1014800</v>
      </c>
      <c r="C119" s="4" t="s">
        <v>467</v>
      </c>
      <c r="D119" s="4" t="s">
        <v>311</v>
      </c>
      <c r="E119" s="4" t="s">
        <v>85</v>
      </c>
      <c r="F119" s="32" t="n">
        <v>0.1999</v>
      </c>
      <c r="G119" s="34" t="n">
        <v>37575.42</v>
      </c>
      <c r="H119" s="4" t="s">
        <v>312</v>
      </c>
    </row>
    <row r="120" customFormat="false" ht="15" hidden="false" customHeight="false" outlineLevel="0" collapsed="false">
      <c r="A120" s="4" t="s">
        <v>65</v>
      </c>
      <c r="B120" s="31" t="n">
        <v>1011767</v>
      </c>
      <c r="C120" s="4" t="s">
        <v>468</v>
      </c>
      <c r="D120" s="4" t="s">
        <v>311</v>
      </c>
      <c r="E120" s="4" t="s">
        <v>328</v>
      </c>
      <c r="F120" s="32" t="n">
        <v>0.1557</v>
      </c>
      <c r="G120" s="34" t="n">
        <v>3669743</v>
      </c>
      <c r="H120" s="4" t="s">
        <v>469</v>
      </c>
    </row>
    <row r="121" customFormat="false" ht="15" hidden="false" customHeight="false" outlineLevel="0" collapsed="false">
      <c r="A121" s="4" t="s">
        <v>65</v>
      </c>
      <c r="B121" s="31" t="n">
        <v>1009752</v>
      </c>
      <c r="C121" s="4" t="s">
        <v>470</v>
      </c>
      <c r="D121" s="4" t="s">
        <v>311</v>
      </c>
      <c r="E121" s="4" t="s">
        <v>331</v>
      </c>
      <c r="F121" s="32" t="n">
        <v>1</v>
      </c>
      <c r="G121" s="33"/>
      <c r="H121" s="4" t="s">
        <v>324</v>
      </c>
    </row>
    <row r="122" customFormat="false" ht="15" hidden="false" customHeight="false" outlineLevel="0" collapsed="false">
      <c r="A122" s="4" t="s">
        <v>65</v>
      </c>
      <c r="B122" s="31" t="n">
        <v>1002508</v>
      </c>
      <c r="C122" s="4" t="s">
        <v>471</v>
      </c>
      <c r="D122" s="4" t="s">
        <v>367</v>
      </c>
      <c r="E122" s="4" t="s">
        <v>308</v>
      </c>
      <c r="F122" s="32" t="n">
        <v>1</v>
      </c>
      <c r="G122" s="33"/>
      <c r="H122" s="4" t="s">
        <v>355</v>
      </c>
    </row>
    <row r="123" customFormat="false" ht="15" hidden="false" customHeight="false" outlineLevel="0" collapsed="false">
      <c r="A123" s="4" t="s">
        <v>65</v>
      </c>
      <c r="B123" s="31" t="n">
        <v>1009141</v>
      </c>
      <c r="C123" s="4" t="s">
        <v>472</v>
      </c>
      <c r="D123" s="4" t="s">
        <v>333</v>
      </c>
      <c r="E123" s="4" t="s">
        <v>331</v>
      </c>
      <c r="F123" s="32" t="n">
        <v>1</v>
      </c>
      <c r="G123" s="33"/>
      <c r="H123" s="4" t="s">
        <v>324</v>
      </c>
    </row>
    <row r="124" customFormat="false" ht="15" hidden="false" customHeight="false" outlineLevel="0" collapsed="false">
      <c r="A124" s="4" t="s">
        <v>65</v>
      </c>
      <c r="B124" s="31" t="n">
        <v>1001872</v>
      </c>
      <c r="C124" s="4" t="s">
        <v>473</v>
      </c>
      <c r="D124" s="4" t="s">
        <v>307</v>
      </c>
      <c r="E124" s="4" t="s">
        <v>308</v>
      </c>
      <c r="F124" s="32" t="n">
        <v>0.364</v>
      </c>
      <c r="G124" s="33"/>
      <c r="H124" s="4" t="s">
        <v>309</v>
      </c>
    </row>
    <row r="125" customFormat="false" ht="15" hidden="false" customHeight="false" outlineLevel="0" collapsed="false">
      <c r="A125" s="4" t="s">
        <v>65</v>
      </c>
      <c r="B125" s="31" t="n">
        <v>1006592</v>
      </c>
      <c r="C125" s="4" t="s">
        <v>474</v>
      </c>
      <c r="D125" s="4" t="s">
        <v>311</v>
      </c>
      <c r="E125" s="4" t="s">
        <v>308</v>
      </c>
      <c r="F125" s="32" t="n">
        <v>1</v>
      </c>
      <c r="G125" s="33"/>
      <c r="H125" s="4" t="s">
        <v>315</v>
      </c>
    </row>
    <row r="126" customFormat="false" ht="15" hidden="false" customHeight="false" outlineLevel="0" collapsed="false">
      <c r="A126" s="4" t="s">
        <v>65</v>
      </c>
      <c r="B126" s="31" t="n">
        <v>1003555</v>
      </c>
      <c r="C126" s="4" t="s">
        <v>475</v>
      </c>
      <c r="D126" s="4" t="s">
        <v>322</v>
      </c>
      <c r="E126" s="4" t="s">
        <v>328</v>
      </c>
      <c r="F126" s="32" t="n">
        <v>0.25</v>
      </c>
      <c r="G126" s="34" t="n">
        <v>251340.33</v>
      </c>
      <c r="H126" s="4" t="s">
        <v>476</v>
      </c>
    </row>
    <row r="127" customFormat="false" ht="15" hidden="false" customHeight="false" outlineLevel="0" collapsed="false">
      <c r="A127" s="4" t="s">
        <v>65</v>
      </c>
      <c r="B127" s="31" t="n">
        <v>1002447</v>
      </c>
      <c r="C127" s="4" t="s">
        <v>477</v>
      </c>
      <c r="D127" s="4" t="s">
        <v>333</v>
      </c>
      <c r="E127" s="4" t="s">
        <v>328</v>
      </c>
      <c r="F127" s="32" t="n">
        <v>0.14</v>
      </c>
      <c r="G127" s="34" t="n">
        <v>21862.022</v>
      </c>
      <c r="H127" s="4" t="s">
        <v>478</v>
      </c>
    </row>
    <row r="128" customFormat="false" ht="15" hidden="false" customHeight="false" outlineLevel="0" collapsed="false">
      <c r="A128" s="4" t="s">
        <v>65</v>
      </c>
      <c r="B128" s="31" t="n">
        <v>1009386</v>
      </c>
      <c r="C128" s="4" t="s">
        <v>479</v>
      </c>
      <c r="D128" s="4" t="s">
        <v>311</v>
      </c>
      <c r="E128" s="4" t="s">
        <v>331</v>
      </c>
      <c r="F128" s="32" t="n">
        <v>1</v>
      </c>
      <c r="G128" s="34" t="n">
        <v>120835.332</v>
      </c>
      <c r="H128" s="4" t="s">
        <v>324</v>
      </c>
    </row>
    <row r="129" customFormat="false" ht="15" hidden="false" customHeight="false" outlineLevel="0" collapsed="false">
      <c r="A129" s="4" t="s">
        <v>65</v>
      </c>
      <c r="B129" s="31" t="n">
        <v>1006677</v>
      </c>
      <c r="C129" s="4" t="s">
        <v>480</v>
      </c>
      <c r="D129" s="4" t="s">
        <v>311</v>
      </c>
      <c r="E129" s="4" t="s">
        <v>308</v>
      </c>
      <c r="F129" s="32" t="n">
        <v>1</v>
      </c>
      <c r="G129" s="33"/>
      <c r="H129" s="4" t="s">
        <v>315</v>
      </c>
    </row>
    <row r="130" customFormat="false" ht="15" hidden="false" customHeight="false" outlineLevel="0" collapsed="false">
      <c r="A130" s="4" t="s">
        <v>65</v>
      </c>
      <c r="B130" s="31" t="n">
        <v>1013840</v>
      </c>
      <c r="C130" s="4" t="s">
        <v>481</v>
      </c>
      <c r="D130" s="4" t="s">
        <v>311</v>
      </c>
      <c r="E130" s="4" t="s">
        <v>85</v>
      </c>
      <c r="F130" s="32" t="n">
        <v>0.1999</v>
      </c>
      <c r="G130" s="34" t="n">
        <v>178179.534</v>
      </c>
      <c r="H130" s="4" t="s">
        <v>312</v>
      </c>
    </row>
    <row r="131" customFormat="false" ht="15" hidden="false" customHeight="false" outlineLevel="0" collapsed="false">
      <c r="A131" s="4" t="s">
        <v>65</v>
      </c>
      <c r="B131" s="31" t="n">
        <v>1012559</v>
      </c>
      <c r="C131" s="4" t="s">
        <v>482</v>
      </c>
      <c r="D131" s="4" t="s">
        <v>335</v>
      </c>
      <c r="E131" s="4" t="s">
        <v>331</v>
      </c>
      <c r="F131" s="32" t="n">
        <v>1</v>
      </c>
      <c r="G131" s="34" t="n">
        <v>29895.184</v>
      </c>
      <c r="H131" s="4" t="s">
        <v>324</v>
      </c>
    </row>
    <row r="132" customFormat="false" ht="15" hidden="false" customHeight="false" outlineLevel="0" collapsed="false">
      <c r="A132" s="4" t="s">
        <v>74</v>
      </c>
      <c r="B132" s="31" t="n">
        <v>1001874</v>
      </c>
      <c r="C132" s="4" t="s">
        <v>306</v>
      </c>
      <c r="D132" s="4" t="s">
        <v>307</v>
      </c>
      <c r="E132" s="4" t="s">
        <v>308</v>
      </c>
      <c r="F132" s="32" t="n">
        <v>0.012</v>
      </c>
      <c r="G132" s="33"/>
      <c r="H132" s="4" t="s">
        <v>309</v>
      </c>
    </row>
    <row r="133" customFormat="false" ht="15" hidden="false" customHeight="false" outlineLevel="0" collapsed="false">
      <c r="A133" s="4" t="s">
        <v>74</v>
      </c>
      <c r="B133" s="31" t="n">
        <v>1009286</v>
      </c>
      <c r="C133" s="4" t="s">
        <v>483</v>
      </c>
      <c r="D133" s="4" t="s">
        <v>407</v>
      </c>
      <c r="E133" s="4" t="s">
        <v>331</v>
      </c>
      <c r="F133" s="32" t="n">
        <v>1</v>
      </c>
      <c r="G133" s="34" t="n">
        <v>591579.46</v>
      </c>
      <c r="H133" s="4" t="s">
        <v>484</v>
      </c>
    </row>
    <row r="134" customFormat="false" ht="15" hidden="false" customHeight="false" outlineLevel="0" collapsed="false">
      <c r="A134" s="4" t="s">
        <v>74</v>
      </c>
      <c r="B134" s="31" t="n">
        <v>1006074</v>
      </c>
      <c r="C134" s="4" t="s">
        <v>485</v>
      </c>
      <c r="D134" s="4" t="s">
        <v>322</v>
      </c>
      <c r="E134" s="4" t="s">
        <v>328</v>
      </c>
      <c r="F134" s="32" t="n">
        <v>0.58</v>
      </c>
      <c r="G134" s="34" t="n">
        <v>102434.092</v>
      </c>
      <c r="H134" s="4" t="s">
        <v>486</v>
      </c>
    </row>
    <row r="135" customFormat="false" ht="15" hidden="false" customHeight="false" outlineLevel="0" collapsed="false">
      <c r="A135" s="4" t="s">
        <v>74</v>
      </c>
      <c r="B135" s="31" t="n">
        <v>1013690</v>
      </c>
      <c r="C135" s="4" t="s">
        <v>487</v>
      </c>
      <c r="D135" s="4" t="s">
        <v>367</v>
      </c>
      <c r="E135" s="4" t="s">
        <v>328</v>
      </c>
      <c r="F135" s="32" t="n">
        <v>0.25</v>
      </c>
      <c r="G135" s="34" t="n">
        <v>20516.812</v>
      </c>
      <c r="H135" s="4" t="s">
        <v>488</v>
      </c>
    </row>
    <row r="136" customFormat="false" ht="15" hidden="false" customHeight="false" outlineLevel="0" collapsed="false">
      <c r="A136" s="4" t="s">
        <v>74</v>
      </c>
      <c r="B136" s="31" t="n">
        <v>1009239</v>
      </c>
      <c r="C136" s="4" t="s">
        <v>489</v>
      </c>
      <c r="D136" s="4" t="s">
        <v>402</v>
      </c>
      <c r="E136" s="4" t="s">
        <v>331</v>
      </c>
      <c r="F136" s="32" t="n">
        <v>1</v>
      </c>
      <c r="G136" s="34" t="n">
        <v>44348.856</v>
      </c>
      <c r="H136" s="4" t="s">
        <v>484</v>
      </c>
    </row>
    <row r="137" customFormat="false" ht="15" hidden="false" customHeight="false" outlineLevel="0" collapsed="false">
      <c r="A137" s="4" t="s">
        <v>74</v>
      </c>
      <c r="B137" s="31" t="n">
        <v>1010084</v>
      </c>
      <c r="C137" s="4" t="s">
        <v>490</v>
      </c>
      <c r="D137" s="4" t="s">
        <v>311</v>
      </c>
      <c r="E137" s="4" t="s">
        <v>331</v>
      </c>
      <c r="F137" s="32" t="n">
        <v>1</v>
      </c>
      <c r="G137" s="34" t="n">
        <v>27523.56</v>
      </c>
      <c r="H137" s="4" t="s">
        <v>484</v>
      </c>
    </row>
    <row r="138" customFormat="false" ht="15" hidden="false" customHeight="false" outlineLevel="0" collapsed="false">
      <c r="A138" s="4" t="s">
        <v>74</v>
      </c>
      <c r="B138" s="31" t="n">
        <v>1001799</v>
      </c>
      <c r="C138" s="4" t="s">
        <v>313</v>
      </c>
      <c r="D138" s="4" t="s">
        <v>307</v>
      </c>
      <c r="E138" s="4" t="s">
        <v>308</v>
      </c>
      <c r="F138" s="32" t="n">
        <v>0.012</v>
      </c>
      <c r="G138" s="33"/>
      <c r="H138" s="4" t="s">
        <v>309</v>
      </c>
    </row>
    <row r="139" customFormat="false" ht="15" hidden="false" customHeight="false" outlineLevel="0" collapsed="false">
      <c r="A139" s="4" t="s">
        <v>74</v>
      </c>
      <c r="B139" s="31" t="n">
        <v>1001875</v>
      </c>
      <c r="C139" s="4" t="s">
        <v>316</v>
      </c>
      <c r="D139" s="4" t="s">
        <v>307</v>
      </c>
      <c r="E139" s="4" t="s">
        <v>308</v>
      </c>
      <c r="F139" s="32" t="n">
        <v>0.012</v>
      </c>
      <c r="G139" s="33"/>
      <c r="H139" s="4" t="s">
        <v>309</v>
      </c>
    </row>
    <row r="140" customFormat="false" ht="15" hidden="false" customHeight="false" outlineLevel="0" collapsed="false">
      <c r="A140" s="4" t="s">
        <v>74</v>
      </c>
      <c r="B140" s="31" t="n">
        <v>1009891</v>
      </c>
      <c r="C140" s="4" t="s">
        <v>491</v>
      </c>
      <c r="D140" s="4" t="s">
        <v>322</v>
      </c>
      <c r="E140" s="4" t="s">
        <v>328</v>
      </c>
      <c r="F140" s="32" t="n">
        <v>0.139</v>
      </c>
      <c r="G140" s="34" t="n">
        <v>31372.754</v>
      </c>
      <c r="H140" s="4" t="s">
        <v>492</v>
      </c>
    </row>
    <row r="141" customFormat="false" ht="15" hidden="false" customHeight="false" outlineLevel="0" collapsed="false">
      <c r="A141" s="4" t="s">
        <v>74</v>
      </c>
      <c r="B141" s="31" t="n">
        <v>1005858</v>
      </c>
      <c r="C141" s="4" t="s">
        <v>327</v>
      </c>
      <c r="D141" s="4" t="s">
        <v>311</v>
      </c>
      <c r="E141" s="4" t="s">
        <v>328</v>
      </c>
      <c r="F141" s="32" t="n">
        <v>0.17</v>
      </c>
      <c r="G141" s="34" t="n">
        <v>99720.708</v>
      </c>
      <c r="H141" s="4" t="s">
        <v>329</v>
      </c>
    </row>
    <row r="142" customFormat="false" ht="15" hidden="false" customHeight="false" outlineLevel="0" collapsed="false">
      <c r="A142" s="4" t="s">
        <v>74</v>
      </c>
      <c r="B142" s="31" t="n">
        <v>1002868</v>
      </c>
      <c r="C142" s="4" t="s">
        <v>493</v>
      </c>
      <c r="D142" s="4" t="s">
        <v>311</v>
      </c>
      <c r="E142" s="4" t="s">
        <v>328</v>
      </c>
      <c r="F142" s="32" t="n">
        <v>0.0605</v>
      </c>
      <c r="G142" s="34" t="n">
        <v>33559.828</v>
      </c>
      <c r="H142" s="4" t="s">
        <v>494</v>
      </c>
    </row>
    <row r="143" customFormat="false" ht="15" hidden="false" customHeight="false" outlineLevel="0" collapsed="false">
      <c r="A143" s="4" t="s">
        <v>74</v>
      </c>
      <c r="B143" s="31" t="n">
        <v>1010534</v>
      </c>
      <c r="C143" s="4" t="s">
        <v>495</v>
      </c>
      <c r="D143" s="4" t="s">
        <v>460</v>
      </c>
      <c r="E143" s="4" t="s">
        <v>70</v>
      </c>
      <c r="F143" s="32" t="n">
        <v>1</v>
      </c>
      <c r="G143" s="34" t="n">
        <v>11502167.7996904</v>
      </c>
      <c r="H143" s="4" t="s">
        <v>484</v>
      </c>
    </row>
    <row r="144" customFormat="false" ht="15" hidden="false" customHeight="false" outlineLevel="0" collapsed="false">
      <c r="A144" s="4" t="s">
        <v>74</v>
      </c>
      <c r="B144" s="31" t="n">
        <v>1013221</v>
      </c>
      <c r="C144" s="4" t="s">
        <v>496</v>
      </c>
      <c r="D144" s="4" t="s">
        <v>311</v>
      </c>
      <c r="E144" s="4" t="s">
        <v>85</v>
      </c>
      <c r="F144" s="32" t="n">
        <v>1</v>
      </c>
      <c r="G144" s="34" t="n">
        <v>187744.934</v>
      </c>
      <c r="H144" s="4" t="s">
        <v>484</v>
      </c>
    </row>
    <row r="145" customFormat="false" ht="15" hidden="false" customHeight="false" outlineLevel="0" collapsed="false">
      <c r="A145" s="4" t="s">
        <v>74</v>
      </c>
      <c r="B145" s="31" t="n">
        <v>1010406</v>
      </c>
      <c r="C145" s="4" t="s">
        <v>497</v>
      </c>
      <c r="D145" s="4" t="s">
        <v>311</v>
      </c>
      <c r="E145" s="4" t="s">
        <v>331</v>
      </c>
      <c r="F145" s="32" t="n">
        <v>0.5154</v>
      </c>
      <c r="G145" s="33"/>
      <c r="H145" s="4" t="s">
        <v>498</v>
      </c>
    </row>
    <row r="146" customFormat="false" ht="15" hidden="false" customHeight="false" outlineLevel="0" collapsed="false">
      <c r="A146" s="4" t="s">
        <v>74</v>
      </c>
      <c r="B146" s="31" t="n">
        <v>1003610</v>
      </c>
      <c r="C146" s="4" t="s">
        <v>499</v>
      </c>
      <c r="D146" s="4" t="s">
        <v>402</v>
      </c>
      <c r="E146" s="4" t="s">
        <v>70</v>
      </c>
      <c r="F146" s="32" t="n">
        <v>1</v>
      </c>
      <c r="G146" s="34" t="n">
        <v>4366328.768</v>
      </c>
      <c r="H146" s="4" t="s">
        <v>484</v>
      </c>
    </row>
    <row r="147" customFormat="false" ht="15" hidden="false" customHeight="false" outlineLevel="0" collapsed="false">
      <c r="A147" s="4" t="s">
        <v>74</v>
      </c>
      <c r="B147" s="31" t="n">
        <v>1009053</v>
      </c>
      <c r="C147" s="4" t="s">
        <v>500</v>
      </c>
      <c r="D147" s="4" t="s">
        <v>402</v>
      </c>
      <c r="E147" s="4" t="s">
        <v>308</v>
      </c>
      <c r="F147" s="32" t="n">
        <v>1</v>
      </c>
      <c r="G147" s="33"/>
      <c r="H147" s="4" t="s">
        <v>484</v>
      </c>
    </row>
    <row r="148" customFormat="false" ht="15" hidden="false" customHeight="false" outlineLevel="0" collapsed="false">
      <c r="A148" s="4" t="s">
        <v>74</v>
      </c>
      <c r="B148" s="31" t="n">
        <v>1013222</v>
      </c>
      <c r="C148" s="4" t="s">
        <v>501</v>
      </c>
      <c r="D148" s="4" t="s">
        <v>311</v>
      </c>
      <c r="E148" s="4" t="s">
        <v>331</v>
      </c>
      <c r="F148" s="32" t="n">
        <v>1</v>
      </c>
      <c r="G148" s="34" t="n">
        <v>105813.53</v>
      </c>
      <c r="H148" s="4" t="s">
        <v>484</v>
      </c>
    </row>
    <row r="149" customFormat="false" ht="15" hidden="false" customHeight="false" outlineLevel="0" collapsed="false">
      <c r="A149" s="4" t="s">
        <v>74</v>
      </c>
      <c r="B149" s="31" t="n">
        <v>1010518</v>
      </c>
      <c r="C149" s="4" t="s">
        <v>502</v>
      </c>
      <c r="D149" s="4" t="s">
        <v>503</v>
      </c>
      <c r="E149" s="4" t="s">
        <v>70</v>
      </c>
      <c r="F149" s="32" t="n">
        <v>1</v>
      </c>
      <c r="G149" s="34" t="n">
        <v>49164284.02</v>
      </c>
      <c r="H149" s="4" t="s">
        <v>484</v>
      </c>
    </row>
    <row r="150" customFormat="false" ht="15" hidden="false" customHeight="false" outlineLevel="0" collapsed="false">
      <c r="A150" s="4" t="s">
        <v>74</v>
      </c>
      <c r="B150" s="31" t="n">
        <v>1003991</v>
      </c>
      <c r="C150" s="4" t="s">
        <v>504</v>
      </c>
      <c r="D150" s="4" t="s">
        <v>311</v>
      </c>
      <c r="E150" s="4" t="s">
        <v>101</v>
      </c>
      <c r="F150" s="32" t="n">
        <v>0.5</v>
      </c>
      <c r="G150" s="34" t="n">
        <v>2103735.498</v>
      </c>
      <c r="H150" s="4" t="s">
        <v>505</v>
      </c>
    </row>
    <row r="151" customFormat="false" ht="15" hidden="false" customHeight="false" outlineLevel="0" collapsed="false">
      <c r="A151" s="4" t="s">
        <v>74</v>
      </c>
      <c r="B151" s="31" t="n">
        <v>1004046</v>
      </c>
      <c r="C151" s="4" t="s">
        <v>506</v>
      </c>
      <c r="D151" s="4" t="s">
        <v>402</v>
      </c>
      <c r="E151" s="4" t="s">
        <v>308</v>
      </c>
      <c r="F151" s="32" t="n">
        <v>1</v>
      </c>
      <c r="G151" s="33"/>
      <c r="H151" s="4" t="s">
        <v>484</v>
      </c>
    </row>
    <row r="152" customFormat="false" ht="15" hidden="false" customHeight="false" outlineLevel="0" collapsed="false">
      <c r="A152" s="4" t="s">
        <v>74</v>
      </c>
      <c r="B152" s="31" t="n">
        <v>1005022</v>
      </c>
      <c r="C152" s="4" t="s">
        <v>507</v>
      </c>
      <c r="D152" s="4" t="s">
        <v>322</v>
      </c>
      <c r="E152" s="4" t="s">
        <v>508</v>
      </c>
      <c r="F152" s="32" t="n">
        <v>1</v>
      </c>
      <c r="G152" s="34" t="n">
        <v>43635.336</v>
      </c>
      <c r="H152" s="4" t="s">
        <v>509</v>
      </c>
    </row>
    <row r="153" customFormat="false" ht="15" hidden="false" customHeight="false" outlineLevel="0" collapsed="false">
      <c r="A153" s="4" t="s">
        <v>74</v>
      </c>
      <c r="B153" s="31" t="n">
        <v>1007978</v>
      </c>
      <c r="C153" s="4" t="s">
        <v>510</v>
      </c>
      <c r="D153" s="4" t="s">
        <v>402</v>
      </c>
      <c r="E153" s="4" t="s">
        <v>70</v>
      </c>
      <c r="F153" s="32" t="n">
        <v>1</v>
      </c>
      <c r="G153" s="34" t="n">
        <v>3282659.994</v>
      </c>
      <c r="H153" s="4" t="s">
        <v>484</v>
      </c>
    </row>
    <row r="154" customFormat="false" ht="15" hidden="false" customHeight="false" outlineLevel="0" collapsed="false">
      <c r="A154" s="4" t="s">
        <v>74</v>
      </c>
      <c r="B154" s="31" t="n">
        <v>1008102</v>
      </c>
      <c r="C154" s="4" t="s">
        <v>511</v>
      </c>
      <c r="D154" s="4" t="s">
        <v>402</v>
      </c>
      <c r="E154" s="4" t="s">
        <v>308</v>
      </c>
      <c r="F154" s="32" t="n">
        <v>1</v>
      </c>
      <c r="G154" s="33"/>
      <c r="H154" s="4" t="s">
        <v>484</v>
      </c>
    </row>
    <row r="155" customFormat="false" ht="15" hidden="false" customHeight="false" outlineLevel="0" collapsed="false">
      <c r="A155" s="4" t="s">
        <v>74</v>
      </c>
      <c r="B155" s="31" t="n">
        <v>1004998</v>
      </c>
      <c r="C155" s="4" t="s">
        <v>369</v>
      </c>
      <c r="D155" s="4" t="s">
        <v>307</v>
      </c>
      <c r="E155" s="4" t="s">
        <v>328</v>
      </c>
      <c r="F155" s="32" t="n">
        <v>0.0495</v>
      </c>
      <c r="G155" s="34" t="n">
        <v>337420.78</v>
      </c>
      <c r="H155" s="4" t="s">
        <v>370</v>
      </c>
    </row>
    <row r="156" customFormat="false" ht="15" hidden="false" customHeight="false" outlineLevel="0" collapsed="false">
      <c r="A156" s="4" t="s">
        <v>74</v>
      </c>
      <c r="B156" s="31" t="n">
        <v>1001800</v>
      </c>
      <c r="C156" s="4" t="s">
        <v>371</v>
      </c>
      <c r="D156" s="4" t="s">
        <v>307</v>
      </c>
      <c r="E156" s="4" t="s">
        <v>308</v>
      </c>
      <c r="F156" s="32" t="n">
        <v>0.012</v>
      </c>
      <c r="G156" s="33"/>
      <c r="H156" s="4" t="s">
        <v>309</v>
      </c>
    </row>
    <row r="157" customFormat="false" ht="15" hidden="false" customHeight="false" outlineLevel="0" collapsed="false">
      <c r="A157" s="4" t="s">
        <v>74</v>
      </c>
      <c r="B157" s="31" t="n">
        <v>1009241</v>
      </c>
      <c r="C157" s="4" t="s">
        <v>512</v>
      </c>
      <c r="D157" s="4" t="s">
        <v>402</v>
      </c>
      <c r="E157" s="4" t="s">
        <v>308</v>
      </c>
      <c r="F157" s="32" t="n">
        <v>1</v>
      </c>
      <c r="G157" s="33"/>
      <c r="H157" s="4" t="s">
        <v>484</v>
      </c>
    </row>
    <row r="158" customFormat="false" ht="15" hidden="false" customHeight="false" outlineLevel="0" collapsed="false">
      <c r="A158" s="4" t="s">
        <v>74</v>
      </c>
      <c r="B158" s="31" t="n">
        <v>1006189</v>
      </c>
      <c r="C158" s="4" t="s">
        <v>513</v>
      </c>
      <c r="D158" s="4" t="s">
        <v>460</v>
      </c>
      <c r="E158" s="4" t="s">
        <v>70</v>
      </c>
      <c r="F158" s="32" t="n">
        <v>1</v>
      </c>
      <c r="G158" s="34" t="n">
        <v>491480.394</v>
      </c>
      <c r="H158" s="4" t="s">
        <v>484</v>
      </c>
    </row>
    <row r="159" customFormat="false" ht="15" hidden="false" customHeight="false" outlineLevel="0" collapsed="false">
      <c r="A159" s="4" t="s">
        <v>74</v>
      </c>
      <c r="B159" s="31" t="n">
        <v>1002345</v>
      </c>
      <c r="C159" s="4" t="s">
        <v>514</v>
      </c>
      <c r="D159" s="4" t="s">
        <v>322</v>
      </c>
      <c r="E159" s="4" t="s">
        <v>328</v>
      </c>
      <c r="F159" s="32" t="n">
        <v>0.5</v>
      </c>
      <c r="G159" s="34" t="n">
        <v>88503.46</v>
      </c>
      <c r="H159" s="4" t="s">
        <v>515</v>
      </c>
    </row>
    <row r="160" customFormat="false" ht="15" hidden="false" customHeight="false" outlineLevel="0" collapsed="false">
      <c r="A160" s="4" t="s">
        <v>74</v>
      </c>
      <c r="B160" s="31" t="n">
        <v>1004001</v>
      </c>
      <c r="C160" s="4" t="s">
        <v>516</v>
      </c>
      <c r="D160" s="4" t="s">
        <v>402</v>
      </c>
      <c r="E160" s="4" t="s">
        <v>281</v>
      </c>
      <c r="F160" s="32" t="n">
        <v>1</v>
      </c>
      <c r="G160" s="34" t="n">
        <v>128287.868</v>
      </c>
      <c r="H160" s="4" t="s">
        <v>484</v>
      </c>
    </row>
    <row r="161" customFormat="false" ht="15" hidden="false" customHeight="false" outlineLevel="0" collapsed="false">
      <c r="A161" s="4" t="s">
        <v>74</v>
      </c>
      <c r="B161" s="31" t="n">
        <v>1007204</v>
      </c>
      <c r="C161" s="4" t="s">
        <v>517</v>
      </c>
      <c r="D161" s="4" t="s">
        <v>402</v>
      </c>
      <c r="E161" s="4" t="s">
        <v>281</v>
      </c>
      <c r="F161" s="32" t="n">
        <v>1</v>
      </c>
      <c r="G161" s="33"/>
      <c r="H161" s="4" t="s">
        <v>484</v>
      </c>
    </row>
    <row r="162" customFormat="false" ht="15" hidden="false" customHeight="false" outlineLevel="0" collapsed="false">
      <c r="A162" s="4" t="s">
        <v>74</v>
      </c>
      <c r="B162" s="31" t="n">
        <v>1002146</v>
      </c>
      <c r="C162" s="4" t="s">
        <v>518</v>
      </c>
      <c r="D162" s="4" t="s">
        <v>311</v>
      </c>
      <c r="E162" s="4" t="s">
        <v>101</v>
      </c>
      <c r="F162" s="32" t="n">
        <v>0.5</v>
      </c>
      <c r="G162" s="34" t="n">
        <v>861803.136</v>
      </c>
      <c r="H162" s="4" t="s">
        <v>505</v>
      </c>
    </row>
    <row r="163" customFormat="false" ht="15" hidden="false" customHeight="false" outlineLevel="0" collapsed="false">
      <c r="A163" s="4" t="s">
        <v>74</v>
      </c>
      <c r="B163" s="31" t="n">
        <v>1012311</v>
      </c>
      <c r="C163" s="4" t="s">
        <v>519</v>
      </c>
      <c r="D163" s="4" t="s">
        <v>402</v>
      </c>
      <c r="E163" s="4" t="s">
        <v>331</v>
      </c>
      <c r="F163" s="32" t="n">
        <v>1</v>
      </c>
      <c r="G163" s="34" t="n">
        <v>21501.682</v>
      </c>
      <c r="H163" s="4" t="s">
        <v>484</v>
      </c>
    </row>
    <row r="164" customFormat="false" ht="15" hidden="false" customHeight="false" outlineLevel="0" collapsed="false">
      <c r="A164" s="4" t="s">
        <v>74</v>
      </c>
      <c r="B164" s="31" t="n">
        <v>1012143</v>
      </c>
      <c r="C164" s="4" t="s">
        <v>520</v>
      </c>
      <c r="D164" s="4" t="s">
        <v>402</v>
      </c>
      <c r="E164" s="4" t="s">
        <v>328</v>
      </c>
      <c r="F164" s="32" t="n">
        <v>1</v>
      </c>
      <c r="G164" s="34" t="n">
        <v>1345810.438</v>
      </c>
      <c r="H164" s="4" t="s">
        <v>484</v>
      </c>
    </row>
    <row r="165" customFormat="false" ht="15" hidden="false" customHeight="false" outlineLevel="0" collapsed="false">
      <c r="A165" s="4" t="s">
        <v>74</v>
      </c>
      <c r="B165" s="31" t="n">
        <v>1003998</v>
      </c>
      <c r="C165" s="4" t="s">
        <v>521</v>
      </c>
      <c r="D165" s="4" t="s">
        <v>402</v>
      </c>
      <c r="E165" s="4" t="s">
        <v>281</v>
      </c>
      <c r="F165" s="32" t="n">
        <v>1</v>
      </c>
      <c r="G165" s="34" t="n">
        <v>374323.344</v>
      </c>
      <c r="H165" s="4" t="s">
        <v>484</v>
      </c>
    </row>
    <row r="166" customFormat="false" ht="15" hidden="false" customHeight="false" outlineLevel="0" collapsed="false">
      <c r="A166" s="4" t="s">
        <v>74</v>
      </c>
      <c r="B166" s="31" t="n">
        <v>1007425</v>
      </c>
      <c r="C166" s="4" t="s">
        <v>522</v>
      </c>
      <c r="D166" s="4" t="s">
        <v>311</v>
      </c>
      <c r="E166" s="4" t="s">
        <v>362</v>
      </c>
      <c r="F166" s="32" t="n">
        <v>0.5</v>
      </c>
      <c r="G166" s="33"/>
      <c r="H166" s="4" t="s">
        <v>505</v>
      </c>
    </row>
    <row r="167" customFormat="false" ht="15" hidden="false" customHeight="false" outlineLevel="0" collapsed="false">
      <c r="A167" s="4" t="s">
        <v>74</v>
      </c>
      <c r="B167" s="31" t="n">
        <v>1005789</v>
      </c>
      <c r="C167" s="4" t="s">
        <v>384</v>
      </c>
      <c r="D167" s="4" t="s">
        <v>307</v>
      </c>
      <c r="E167" s="4" t="s">
        <v>328</v>
      </c>
      <c r="F167" s="32" t="n">
        <v>0.0495</v>
      </c>
      <c r="G167" s="34" t="n">
        <v>492806.818</v>
      </c>
      <c r="H167" s="4" t="s">
        <v>370</v>
      </c>
    </row>
    <row r="168" customFormat="false" ht="15" hidden="false" customHeight="false" outlineLevel="0" collapsed="false">
      <c r="A168" s="4" t="s">
        <v>74</v>
      </c>
      <c r="B168" s="31" t="n">
        <v>1009240</v>
      </c>
      <c r="C168" s="4" t="s">
        <v>523</v>
      </c>
      <c r="D168" s="4" t="s">
        <v>402</v>
      </c>
      <c r="E168" s="4" t="s">
        <v>331</v>
      </c>
      <c r="F168" s="32" t="n">
        <v>1</v>
      </c>
      <c r="G168" s="34" t="n">
        <v>340254.15</v>
      </c>
      <c r="H168" s="4" t="s">
        <v>484</v>
      </c>
    </row>
    <row r="169" customFormat="false" ht="15" hidden="false" customHeight="false" outlineLevel="0" collapsed="false">
      <c r="A169" s="4" t="s">
        <v>74</v>
      </c>
      <c r="B169" s="31" t="n">
        <v>1008270</v>
      </c>
      <c r="C169" s="4" t="s">
        <v>524</v>
      </c>
      <c r="D169" s="4" t="s">
        <v>311</v>
      </c>
      <c r="E169" s="4" t="s">
        <v>331</v>
      </c>
      <c r="F169" s="32" t="n">
        <v>1</v>
      </c>
      <c r="G169" s="34" t="n">
        <v>322405.882</v>
      </c>
      <c r="H169" s="4" t="s">
        <v>484</v>
      </c>
    </row>
    <row r="170" customFormat="false" ht="15" hidden="false" customHeight="false" outlineLevel="0" collapsed="false">
      <c r="A170" s="4" t="s">
        <v>74</v>
      </c>
      <c r="B170" s="31" t="n">
        <v>1012257</v>
      </c>
      <c r="C170" s="4" t="s">
        <v>525</v>
      </c>
      <c r="D170" s="4" t="s">
        <v>402</v>
      </c>
      <c r="E170" s="4" t="s">
        <v>331</v>
      </c>
      <c r="F170" s="32" t="n">
        <v>1</v>
      </c>
      <c r="G170" s="34" t="n">
        <v>9909.032</v>
      </c>
      <c r="H170" s="4" t="s">
        <v>484</v>
      </c>
    </row>
    <row r="171" customFormat="false" ht="15" hidden="false" customHeight="false" outlineLevel="0" collapsed="false">
      <c r="A171" s="4" t="s">
        <v>74</v>
      </c>
      <c r="B171" s="31" t="n">
        <v>1012147</v>
      </c>
      <c r="C171" s="4" t="s">
        <v>526</v>
      </c>
      <c r="D171" s="4" t="s">
        <v>402</v>
      </c>
      <c r="E171" s="4" t="s">
        <v>331</v>
      </c>
      <c r="F171" s="32" t="n">
        <v>1</v>
      </c>
      <c r="G171" s="33"/>
      <c r="H171" s="4" t="s">
        <v>484</v>
      </c>
    </row>
    <row r="172" customFormat="false" ht="15" hidden="false" customHeight="false" outlineLevel="0" collapsed="false">
      <c r="A172" s="4" t="s">
        <v>74</v>
      </c>
      <c r="B172" s="31" t="n">
        <v>1005001</v>
      </c>
      <c r="C172" s="4" t="s">
        <v>395</v>
      </c>
      <c r="D172" s="4" t="s">
        <v>307</v>
      </c>
      <c r="E172" s="4" t="s">
        <v>328</v>
      </c>
      <c r="F172" s="32" t="n">
        <v>0.0495</v>
      </c>
      <c r="G172" s="34" t="n">
        <v>77506.66</v>
      </c>
      <c r="H172" s="4" t="s">
        <v>370</v>
      </c>
    </row>
    <row r="173" customFormat="false" ht="15" hidden="false" customHeight="false" outlineLevel="0" collapsed="false">
      <c r="A173" s="4" t="s">
        <v>74</v>
      </c>
      <c r="B173" s="31" t="n">
        <v>1004186</v>
      </c>
      <c r="C173" s="4" t="s">
        <v>527</v>
      </c>
      <c r="D173" s="4" t="s">
        <v>402</v>
      </c>
      <c r="E173" s="4" t="s">
        <v>308</v>
      </c>
      <c r="F173" s="32" t="n">
        <v>1</v>
      </c>
      <c r="G173" s="33"/>
      <c r="H173" s="4" t="s">
        <v>484</v>
      </c>
    </row>
    <row r="174" customFormat="false" ht="15" hidden="false" customHeight="false" outlineLevel="0" collapsed="false">
      <c r="A174" s="4" t="s">
        <v>74</v>
      </c>
      <c r="B174" s="31" t="n">
        <v>1008961</v>
      </c>
      <c r="C174" s="4" t="s">
        <v>528</v>
      </c>
      <c r="D174" s="4" t="s">
        <v>402</v>
      </c>
      <c r="E174" s="4" t="s">
        <v>308</v>
      </c>
      <c r="F174" s="32" t="n">
        <v>1</v>
      </c>
      <c r="G174" s="33"/>
      <c r="H174" s="4" t="s">
        <v>529</v>
      </c>
    </row>
    <row r="175" customFormat="false" ht="15" hidden="false" customHeight="false" outlineLevel="0" collapsed="false">
      <c r="A175" s="4" t="s">
        <v>74</v>
      </c>
      <c r="B175" s="31" t="n">
        <v>1010423</v>
      </c>
      <c r="C175" s="4" t="s">
        <v>530</v>
      </c>
      <c r="D175" s="4" t="s">
        <v>311</v>
      </c>
      <c r="E175" s="4" t="s">
        <v>331</v>
      </c>
      <c r="F175" s="32" t="n">
        <v>1</v>
      </c>
      <c r="G175" s="33"/>
      <c r="H175" s="4" t="s">
        <v>484</v>
      </c>
    </row>
    <row r="176" customFormat="false" ht="15" hidden="false" customHeight="false" outlineLevel="0" collapsed="false">
      <c r="A176" s="4" t="s">
        <v>74</v>
      </c>
      <c r="B176" s="31" t="n">
        <v>1007995</v>
      </c>
      <c r="C176" s="4" t="s">
        <v>531</v>
      </c>
      <c r="D176" s="4" t="s">
        <v>532</v>
      </c>
      <c r="E176" s="4" t="s">
        <v>70</v>
      </c>
      <c r="F176" s="32" t="n">
        <v>1</v>
      </c>
      <c r="G176" s="33"/>
      <c r="H176" s="4" t="s">
        <v>533</v>
      </c>
    </row>
    <row r="177" customFormat="false" ht="15" hidden="false" customHeight="false" outlineLevel="0" collapsed="false">
      <c r="A177" s="4" t="s">
        <v>74</v>
      </c>
      <c r="B177" s="31" t="n">
        <v>1004193</v>
      </c>
      <c r="C177" s="4" t="s">
        <v>534</v>
      </c>
      <c r="D177" s="4" t="s">
        <v>402</v>
      </c>
      <c r="E177" s="4" t="s">
        <v>308</v>
      </c>
      <c r="F177" s="32" t="n">
        <v>1</v>
      </c>
      <c r="G177" s="33"/>
      <c r="H177" s="4" t="s">
        <v>484</v>
      </c>
    </row>
    <row r="178" customFormat="false" ht="15" hidden="false" customHeight="false" outlineLevel="0" collapsed="false">
      <c r="A178" s="4" t="s">
        <v>74</v>
      </c>
      <c r="B178" s="31" t="n">
        <v>1010516</v>
      </c>
      <c r="C178" s="4" t="s">
        <v>535</v>
      </c>
      <c r="D178" s="4" t="s">
        <v>402</v>
      </c>
      <c r="E178" s="4" t="s">
        <v>70</v>
      </c>
      <c r="F178" s="32" t="n">
        <v>1</v>
      </c>
      <c r="G178" s="34" t="n">
        <v>32801440.2621513</v>
      </c>
      <c r="H178" s="4" t="s">
        <v>484</v>
      </c>
    </row>
    <row r="179" customFormat="false" ht="15" hidden="false" customHeight="false" outlineLevel="0" collapsed="false">
      <c r="A179" s="4" t="s">
        <v>74</v>
      </c>
      <c r="B179" s="31" t="n">
        <v>1008956</v>
      </c>
      <c r="C179" s="4" t="s">
        <v>536</v>
      </c>
      <c r="D179" s="4" t="s">
        <v>402</v>
      </c>
      <c r="E179" s="4" t="s">
        <v>331</v>
      </c>
      <c r="F179" s="32" t="n">
        <v>1</v>
      </c>
      <c r="G179" s="33"/>
      <c r="H179" s="4" t="s">
        <v>484</v>
      </c>
    </row>
    <row r="180" customFormat="false" ht="15" hidden="false" customHeight="false" outlineLevel="0" collapsed="false">
      <c r="A180" s="4" t="s">
        <v>74</v>
      </c>
      <c r="B180" s="31" t="n">
        <v>1006967</v>
      </c>
      <c r="C180" s="4" t="s">
        <v>537</v>
      </c>
      <c r="D180" s="4" t="s">
        <v>311</v>
      </c>
      <c r="E180" s="4" t="s">
        <v>101</v>
      </c>
      <c r="F180" s="32" t="n">
        <v>0.5</v>
      </c>
      <c r="G180" s="34" t="n">
        <v>1002445.798</v>
      </c>
      <c r="H180" s="4" t="s">
        <v>505</v>
      </c>
    </row>
    <row r="181" customFormat="false" ht="15" hidden="false" customHeight="false" outlineLevel="0" collapsed="false">
      <c r="A181" s="4" t="s">
        <v>74</v>
      </c>
      <c r="B181" s="31" t="n">
        <v>1004422</v>
      </c>
      <c r="C181" s="4" t="s">
        <v>416</v>
      </c>
      <c r="D181" s="4" t="s">
        <v>307</v>
      </c>
      <c r="E181" s="4" t="s">
        <v>328</v>
      </c>
      <c r="F181" s="32" t="n">
        <v>0.0495</v>
      </c>
      <c r="G181" s="34" t="n">
        <v>293507.848</v>
      </c>
      <c r="H181" s="4" t="s">
        <v>370</v>
      </c>
    </row>
    <row r="182" customFormat="false" ht="15" hidden="false" customHeight="false" outlineLevel="0" collapsed="false">
      <c r="A182" s="4" t="s">
        <v>74</v>
      </c>
      <c r="B182" s="31" t="n">
        <v>1010517</v>
      </c>
      <c r="C182" s="4" t="s">
        <v>538</v>
      </c>
      <c r="D182" s="4" t="s">
        <v>402</v>
      </c>
      <c r="E182" s="4" t="s">
        <v>70</v>
      </c>
      <c r="F182" s="32" t="n">
        <v>1</v>
      </c>
      <c r="G182" s="34" t="n">
        <v>34857171.6564786</v>
      </c>
      <c r="H182" s="4" t="s">
        <v>484</v>
      </c>
    </row>
    <row r="183" customFormat="false" ht="15" hidden="false" customHeight="false" outlineLevel="0" collapsed="false">
      <c r="A183" s="4" t="s">
        <v>74</v>
      </c>
      <c r="B183" s="31" t="n">
        <v>1000507</v>
      </c>
      <c r="C183" s="4" t="s">
        <v>539</v>
      </c>
      <c r="D183" s="4" t="s">
        <v>402</v>
      </c>
      <c r="E183" s="4" t="s">
        <v>281</v>
      </c>
      <c r="F183" s="32" t="n">
        <v>1</v>
      </c>
      <c r="G183" s="34" t="n">
        <v>154020.98</v>
      </c>
      <c r="H183" s="4" t="s">
        <v>484</v>
      </c>
    </row>
    <row r="184" customFormat="false" ht="15" hidden="false" customHeight="false" outlineLevel="0" collapsed="false">
      <c r="A184" s="4" t="s">
        <v>74</v>
      </c>
      <c r="B184" s="31" t="n">
        <v>1003130</v>
      </c>
      <c r="C184" s="4" t="s">
        <v>540</v>
      </c>
      <c r="D184" s="4" t="s">
        <v>333</v>
      </c>
      <c r="E184" s="4" t="s">
        <v>328</v>
      </c>
      <c r="F184" s="32" t="n">
        <v>0.021</v>
      </c>
      <c r="G184" s="33"/>
      <c r="H184" s="4" t="s">
        <v>541</v>
      </c>
    </row>
    <row r="185" customFormat="false" ht="15" hidden="false" customHeight="false" outlineLevel="0" collapsed="false">
      <c r="A185" s="4" t="s">
        <v>74</v>
      </c>
      <c r="B185" s="31" t="n">
        <v>1003774</v>
      </c>
      <c r="C185" s="4" t="s">
        <v>542</v>
      </c>
      <c r="D185" s="4" t="s">
        <v>322</v>
      </c>
      <c r="E185" s="4" t="s">
        <v>328</v>
      </c>
      <c r="F185" s="32" t="n">
        <v>0.156</v>
      </c>
      <c r="G185" s="34" t="n">
        <v>111687.898</v>
      </c>
      <c r="H185" s="4" t="s">
        <v>543</v>
      </c>
    </row>
    <row r="186" customFormat="false" ht="15" hidden="false" customHeight="false" outlineLevel="0" collapsed="false">
      <c r="A186" s="4" t="s">
        <v>74</v>
      </c>
      <c r="B186" s="31" t="n">
        <v>1005019</v>
      </c>
      <c r="C186" s="4" t="s">
        <v>544</v>
      </c>
      <c r="D186" s="4" t="s">
        <v>375</v>
      </c>
      <c r="E186" s="4" t="s">
        <v>508</v>
      </c>
      <c r="F186" s="32" t="n">
        <v>1</v>
      </c>
      <c r="G186" s="34" t="n">
        <v>50713.76</v>
      </c>
      <c r="H186" s="4" t="s">
        <v>509</v>
      </c>
    </row>
    <row r="187" customFormat="false" ht="15" hidden="false" customHeight="false" outlineLevel="0" collapsed="false">
      <c r="A187" s="4" t="s">
        <v>74</v>
      </c>
      <c r="B187" s="31" t="n">
        <v>1003677</v>
      </c>
      <c r="C187" s="4" t="s">
        <v>427</v>
      </c>
      <c r="D187" s="4" t="s">
        <v>322</v>
      </c>
      <c r="E187" s="4" t="s">
        <v>328</v>
      </c>
      <c r="F187" s="32" t="n">
        <v>0.596213</v>
      </c>
      <c r="G187" s="33"/>
      <c r="H187" s="4" t="s">
        <v>428</v>
      </c>
    </row>
    <row r="188" customFormat="false" ht="15" hidden="false" customHeight="false" outlineLevel="0" collapsed="false">
      <c r="A188" s="4" t="s">
        <v>74</v>
      </c>
      <c r="B188" s="31" t="n">
        <v>1005903</v>
      </c>
      <c r="C188" s="4" t="s">
        <v>545</v>
      </c>
      <c r="D188" s="4" t="s">
        <v>311</v>
      </c>
      <c r="E188" s="4" t="s">
        <v>70</v>
      </c>
      <c r="F188" s="32" t="n">
        <v>1</v>
      </c>
      <c r="G188" s="34" t="n">
        <v>12665000.607429</v>
      </c>
      <c r="H188" s="4" t="s">
        <v>546</v>
      </c>
    </row>
    <row r="189" customFormat="false" ht="15" hidden="false" customHeight="false" outlineLevel="0" collapsed="false">
      <c r="A189" s="4" t="s">
        <v>74</v>
      </c>
      <c r="B189" s="31" t="n">
        <v>1010533</v>
      </c>
      <c r="C189" s="4" t="s">
        <v>547</v>
      </c>
      <c r="D189" s="4" t="s">
        <v>402</v>
      </c>
      <c r="E189" s="4" t="s">
        <v>70</v>
      </c>
      <c r="F189" s="32" t="n">
        <v>1</v>
      </c>
      <c r="G189" s="34" t="n">
        <v>36145445.0496245</v>
      </c>
      <c r="H189" s="4" t="s">
        <v>484</v>
      </c>
    </row>
    <row r="190" customFormat="false" ht="15" hidden="false" customHeight="false" outlineLevel="0" collapsed="false">
      <c r="A190" s="4" t="s">
        <v>74</v>
      </c>
      <c r="B190" s="31" t="n">
        <v>1012826</v>
      </c>
      <c r="C190" s="4" t="s">
        <v>548</v>
      </c>
      <c r="D190" s="4" t="s">
        <v>311</v>
      </c>
      <c r="E190" s="4" t="s">
        <v>85</v>
      </c>
      <c r="F190" s="32" t="n">
        <v>1</v>
      </c>
      <c r="G190" s="34" t="n">
        <v>352164.398</v>
      </c>
      <c r="H190" s="4" t="s">
        <v>484</v>
      </c>
    </row>
    <row r="191" customFormat="false" ht="15" hidden="false" customHeight="false" outlineLevel="0" collapsed="false">
      <c r="A191" s="4" t="s">
        <v>74</v>
      </c>
      <c r="B191" s="31" t="n">
        <v>1007955</v>
      </c>
      <c r="C191" s="4" t="s">
        <v>549</v>
      </c>
      <c r="D191" s="4" t="s">
        <v>402</v>
      </c>
      <c r="E191" s="4" t="s">
        <v>308</v>
      </c>
      <c r="F191" s="32" t="n">
        <v>1</v>
      </c>
      <c r="G191" s="33"/>
      <c r="H191" s="4" t="s">
        <v>484</v>
      </c>
    </row>
    <row r="192" customFormat="false" ht="15" hidden="false" customHeight="false" outlineLevel="0" collapsed="false">
      <c r="A192" s="4" t="s">
        <v>74</v>
      </c>
      <c r="B192" s="31" t="n">
        <v>1007656</v>
      </c>
      <c r="C192" s="4" t="s">
        <v>550</v>
      </c>
      <c r="D192" s="4" t="s">
        <v>322</v>
      </c>
      <c r="E192" s="4" t="s">
        <v>308</v>
      </c>
      <c r="F192" s="32" t="n">
        <v>0.6667</v>
      </c>
      <c r="G192" s="33"/>
      <c r="H192" s="4" t="s">
        <v>551</v>
      </c>
    </row>
    <row r="193" customFormat="false" ht="15" hidden="false" customHeight="false" outlineLevel="0" collapsed="false">
      <c r="A193" s="4" t="s">
        <v>74</v>
      </c>
      <c r="B193" s="31" t="n">
        <v>1004004</v>
      </c>
      <c r="C193" s="4" t="s">
        <v>552</v>
      </c>
      <c r="D193" s="4" t="s">
        <v>402</v>
      </c>
      <c r="E193" s="4" t="s">
        <v>281</v>
      </c>
      <c r="F193" s="32" t="n">
        <v>1</v>
      </c>
      <c r="G193" s="33"/>
      <c r="H193" s="4" t="s">
        <v>484</v>
      </c>
    </row>
    <row r="194" customFormat="false" ht="15" hidden="false" customHeight="false" outlineLevel="0" collapsed="false">
      <c r="A194" s="4" t="s">
        <v>74</v>
      </c>
      <c r="B194" s="31" t="n">
        <v>1001873</v>
      </c>
      <c r="C194" s="4" t="s">
        <v>442</v>
      </c>
      <c r="D194" s="4" t="s">
        <v>307</v>
      </c>
      <c r="E194" s="4" t="s">
        <v>308</v>
      </c>
      <c r="F194" s="32" t="n">
        <v>0.012</v>
      </c>
      <c r="G194" s="33"/>
      <c r="H194" s="4" t="s">
        <v>309</v>
      </c>
    </row>
    <row r="195" customFormat="false" ht="15" hidden="false" customHeight="false" outlineLevel="0" collapsed="false">
      <c r="A195" s="4" t="s">
        <v>74</v>
      </c>
      <c r="B195" s="31" t="n">
        <v>1010538</v>
      </c>
      <c r="C195" s="4" t="s">
        <v>553</v>
      </c>
      <c r="D195" s="4" t="s">
        <v>375</v>
      </c>
      <c r="E195" s="4" t="s">
        <v>362</v>
      </c>
      <c r="F195" s="32" t="n">
        <v>1</v>
      </c>
      <c r="G195" s="34" t="n">
        <v>25965.652</v>
      </c>
      <c r="H195" s="4" t="s">
        <v>484</v>
      </c>
    </row>
    <row r="196" customFormat="false" ht="15" hidden="false" customHeight="false" outlineLevel="0" collapsed="false">
      <c r="A196" s="4" t="s">
        <v>74</v>
      </c>
      <c r="B196" s="31" t="n">
        <v>1012146</v>
      </c>
      <c r="C196" s="4" t="s">
        <v>554</v>
      </c>
      <c r="D196" s="4" t="s">
        <v>402</v>
      </c>
      <c r="E196" s="4" t="s">
        <v>328</v>
      </c>
      <c r="F196" s="32" t="n">
        <v>1</v>
      </c>
      <c r="G196" s="34" t="n">
        <v>105546.972</v>
      </c>
      <c r="H196" s="4" t="s">
        <v>484</v>
      </c>
    </row>
    <row r="197" customFormat="false" ht="15" hidden="false" customHeight="false" outlineLevel="0" collapsed="false">
      <c r="A197" s="4" t="s">
        <v>74</v>
      </c>
      <c r="B197" s="31" t="n">
        <v>1001767</v>
      </c>
      <c r="C197" s="4" t="s">
        <v>555</v>
      </c>
      <c r="D197" s="4" t="s">
        <v>311</v>
      </c>
      <c r="E197" s="4" t="s">
        <v>556</v>
      </c>
      <c r="F197" s="32" t="n">
        <v>0.62029736</v>
      </c>
      <c r="G197" s="33"/>
      <c r="H197" s="4" t="s">
        <v>557</v>
      </c>
    </row>
    <row r="198" customFormat="false" ht="15" hidden="false" customHeight="false" outlineLevel="0" collapsed="false">
      <c r="A198" s="4" t="s">
        <v>74</v>
      </c>
      <c r="B198" s="31" t="n">
        <v>1003738</v>
      </c>
      <c r="C198" s="4" t="s">
        <v>558</v>
      </c>
      <c r="D198" s="4" t="s">
        <v>335</v>
      </c>
      <c r="E198" s="4" t="s">
        <v>308</v>
      </c>
      <c r="F198" s="32" t="n">
        <v>0.3</v>
      </c>
      <c r="G198" s="33"/>
      <c r="H198" s="4" t="s">
        <v>559</v>
      </c>
    </row>
    <row r="199" customFormat="false" ht="15" hidden="false" customHeight="false" outlineLevel="0" collapsed="false">
      <c r="A199" s="4" t="s">
        <v>74</v>
      </c>
      <c r="B199" s="31" t="n">
        <v>1002629</v>
      </c>
      <c r="C199" s="4" t="s">
        <v>560</v>
      </c>
      <c r="D199" s="4" t="s">
        <v>311</v>
      </c>
      <c r="E199" s="4" t="s">
        <v>328</v>
      </c>
      <c r="F199" s="32" t="n">
        <v>0.019</v>
      </c>
      <c r="G199" s="34" t="n">
        <v>137043.592</v>
      </c>
      <c r="H199" s="4" t="s">
        <v>561</v>
      </c>
    </row>
    <row r="200" customFormat="false" ht="15" hidden="false" customHeight="false" outlineLevel="0" collapsed="false">
      <c r="A200" s="4" t="s">
        <v>74</v>
      </c>
      <c r="B200" s="31" t="n">
        <v>1012305</v>
      </c>
      <c r="C200" s="4" t="s">
        <v>562</v>
      </c>
      <c r="D200" s="4" t="s">
        <v>402</v>
      </c>
      <c r="E200" s="4" t="s">
        <v>331</v>
      </c>
      <c r="F200" s="32" t="n">
        <v>1</v>
      </c>
      <c r="G200" s="34" t="n">
        <v>958360.75</v>
      </c>
      <c r="H200" s="4" t="s">
        <v>484</v>
      </c>
    </row>
    <row r="201" customFormat="false" ht="15" hidden="false" customHeight="false" outlineLevel="0" collapsed="false">
      <c r="A201" s="4" t="s">
        <v>74</v>
      </c>
      <c r="B201" s="31" t="n">
        <v>1011425</v>
      </c>
      <c r="C201" s="4" t="s">
        <v>456</v>
      </c>
      <c r="D201" s="4" t="s">
        <v>322</v>
      </c>
      <c r="E201" s="4" t="s">
        <v>328</v>
      </c>
      <c r="F201" s="32" t="n">
        <v>0.406</v>
      </c>
      <c r="G201" s="34" t="n">
        <v>194726.364</v>
      </c>
      <c r="H201" s="4" t="s">
        <v>457</v>
      </c>
    </row>
    <row r="202" customFormat="false" ht="15" hidden="false" customHeight="false" outlineLevel="0" collapsed="false">
      <c r="A202" s="4" t="s">
        <v>74</v>
      </c>
      <c r="B202" s="31" t="n">
        <v>1010422</v>
      </c>
      <c r="C202" s="4" t="s">
        <v>563</v>
      </c>
      <c r="D202" s="4" t="s">
        <v>333</v>
      </c>
      <c r="E202" s="4" t="s">
        <v>331</v>
      </c>
      <c r="F202" s="32" t="n">
        <v>0.6296</v>
      </c>
      <c r="G202" s="33"/>
      <c r="H202" s="4" t="s">
        <v>564</v>
      </c>
    </row>
    <row r="203" customFormat="false" ht="15" hidden="false" customHeight="false" outlineLevel="0" collapsed="false">
      <c r="A203" s="4" t="s">
        <v>74</v>
      </c>
      <c r="B203" s="31" t="n">
        <v>1012721</v>
      </c>
      <c r="C203" s="4" t="s">
        <v>565</v>
      </c>
      <c r="D203" s="4" t="s">
        <v>311</v>
      </c>
      <c r="E203" s="4" t="s">
        <v>85</v>
      </c>
      <c r="F203" s="32" t="n">
        <v>1</v>
      </c>
      <c r="G203" s="34" t="n">
        <v>141345.746</v>
      </c>
      <c r="H203" s="4" t="s">
        <v>484</v>
      </c>
    </row>
    <row r="204" customFormat="false" ht="15" hidden="false" customHeight="false" outlineLevel="0" collapsed="false">
      <c r="A204" s="4" t="s">
        <v>74</v>
      </c>
      <c r="B204" s="31" t="n">
        <v>1006432</v>
      </c>
      <c r="C204" s="4" t="s">
        <v>566</v>
      </c>
      <c r="D204" s="4" t="s">
        <v>402</v>
      </c>
      <c r="E204" s="4" t="s">
        <v>308</v>
      </c>
      <c r="F204" s="32" t="n">
        <v>1</v>
      </c>
      <c r="G204" s="33"/>
      <c r="H204" s="4" t="s">
        <v>484</v>
      </c>
    </row>
    <row r="205" customFormat="false" ht="15" hidden="false" customHeight="false" outlineLevel="0" collapsed="false">
      <c r="A205" s="4" t="s">
        <v>74</v>
      </c>
      <c r="B205" s="31" t="n">
        <v>1010719</v>
      </c>
      <c r="C205" s="4" t="s">
        <v>463</v>
      </c>
      <c r="D205" s="4" t="s">
        <v>367</v>
      </c>
      <c r="E205" s="4" t="s">
        <v>331</v>
      </c>
      <c r="F205" s="32" t="n">
        <v>0.25</v>
      </c>
      <c r="G205" s="33"/>
      <c r="H205" s="4" t="s">
        <v>464</v>
      </c>
    </row>
    <row r="206" customFormat="false" ht="15" hidden="false" customHeight="false" outlineLevel="0" collapsed="false">
      <c r="A206" s="4" t="s">
        <v>74</v>
      </c>
      <c r="B206" s="31" t="n">
        <v>1014643</v>
      </c>
      <c r="C206" s="4" t="s">
        <v>567</v>
      </c>
      <c r="D206" s="4" t="s">
        <v>322</v>
      </c>
      <c r="E206" s="4" t="s">
        <v>328</v>
      </c>
      <c r="F206" s="32" t="n">
        <v>0.156</v>
      </c>
      <c r="G206" s="34" t="n">
        <v>134117.69</v>
      </c>
      <c r="H206" s="4" t="s">
        <v>543</v>
      </c>
    </row>
    <row r="207" customFormat="false" ht="15" hidden="false" customHeight="false" outlineLevel="0" collapsed="false">
      <c r="A207" s="4" t="s">
        <v>74</v>
      </c>
      <c r="B207" s="31" t="n">
        <v>1002668</v>
      </c>
      <c r="C207" s="4" t="s">
        <v>568</v>
      </c>
      <c r="D207" s="4" t="s">
        <v>311</v>
      </c>
      <c r="E207" s="4" t="s">
        <v>331</v>
      </c>
      <c r="F207" s="32" t="n">
        <v>0.012112</v>
      </c>
      <c r="G207" s="34" t="n">
        <v>62454.016</v>
      </c>
      <c r="H207" s="4" t="s">
        <v>569</v>
      </c>
    </row>
    <row r="208" customFormat="false" ht="15" hidden="false" customHeight="false" outlineLevel="0" collapsed="false">
      <c r="A208" s="4" t="s">
        <v>74</v>
      </c>
      <c r="B208" s="31" t="n">
        <v>1009051</v>
      </c>
      <c r="C208" s="4" t="s">
        <v>570</v>
      </c>
      <c r="D208" s="4" t="s">
        <v>402</v>
      </c>
      <c r="E208" s="4" t="s">
        <v>308</v>
      </c>
      <c r="F208" s="32" t="n">
        <v>1</v>
      </c>
      <c r="G208" s="33"/>
      <c r="H208" s="4" t="s">
        <v>484</v>
      </c>
    </row>
    <row r="209" customFormat="false" ht="15" hidden="false" customHeight="false" outlineLevel="0" collapsed="false">
      <c r="A209" s="4" t="s">
        <v>74</v>
      </c>
      <c r="B209" s="31" t="n">
        <v>1012376</v>
      </c>
      <c r="C209" s="4" t="s">
        <v>571</v>
      </c>
      <c r="D209" s="4" t="s">
        <v>407</v>
      </c>
      <c r="E209" s="4" t="s">
        <v>331</v>
      </c>
      <c r="F209" s="32" t="n">
        <v>1</v>
      </c>
      <c r="G209" s="34" t="n">
        <v>183539.246</v>
      </c>
      <c r="H209" s="4" t="s">
        <v>484</v>
      </c>
    </row>
    <row r="210" customFormat="false" ht="15" hidden="false" customHeight="false" outlineLevel="0" collapsed="false">
      <c r="A210" s="4" t="s">
        <v>74</v>
      </c>
      <c r="B210" s="31" t="n">
        <v>1007101</v>
      </c>
      <c r="C210" s="4" t="s">
        <v>572</v>
      </c>
      <c r="D210" s="4" t="s">
        <v>307</v>
      </c>
      <c r="E210" s="4" t="s">
        <v>308</v>
      </c>
      <c r="F210" s="32" t="n">
        <v>0.333</v>
      </c>
      <c r="G210" s="33"/>
      <c r="H210" s="4" t="s">
        <v>573</v>
      </c>
    </row>
    <row r="211" customFormat="false" ht="15" hidden="false" customHeight="false" outlineLevel="0" collapsed="false">
      <c r="A211" s="4" t="s">
        <v>74</v>
      </c>
      <c r="B211" s="31" t="n">
        <v>1000506</v>
      </c>
      <c r="C211" s="4" t="s">
        <v>574</v>
      </c>
      <c r="D211" s="4" t="s">
        <v>402</v>
      </c>
      <c r="E211" s="4" t="s">
        <v>281</v>
      </c>
      <c r="F211" s="32" t="n">
        <v>1</v>
      </c>
      <c r="G211" s="33"/>
      <c r="H211" s="4" t="s">
        <v>484</v>
      </c>
    </row>
    <row r="212" customFormat="false" ht="15" hidden="false" customHeight="false" outlineLevel="0" collapsed="false">
      <c r="A212" s="4" t="s">
        <v>74</v>
      </c>
      <c r="B212" s="31" t="n">
        <v>1003286</v>
      </c>
      <c r="C212" s="4" t="s">
        <v>575</v>
      </c>
      <c r="D212" s="4" t="s">
        <v>503</v>
      </c>
      <c r="E212" s="4" t="s">
        <v>70</v>
      </c>
      <c r="F212" s="32" t="n">
        <v>1</v>
      </c>
      <c r="G212" s="34" t="n">
        <v>4784595.208</v>
      </c>
      <c r="H212" s="4" t="s">
        <v>484</v>
      </c>
    </row>
    <row r="213" customFormat="false" ht="15" hidden="false" customHeight="false" outlineLevel="0" collapsed="false">
      <c r="A213" s="4" t="s">
        <v>74</v>
      </c>
      <c r="B213" s="31" t="n">
        <v>1002651</v>
      </c>
      <c r="C213" s="4" t="s">
        <v>576</v>
      </c>
      <c r="D213" s="4" t="s">
        <v>322</v>
      </c>
      <c r="E213" s="4" t="s">
        <v>328</v>
      </c>
      <c r="F213" s="32" t="n">
        <v>0.75</v>
      </c>
      <c r="G213" s="34" t="n">
        <v>47532.56</v>
      </c>
      <c r="H213" s="4" t="s">
        <v>577</v>
      </c>
    </row>
    <row r="214" customFormat="false" ht="15" hidden="false" customHeight="false" outlineLevel="0" collapsed="false">
      <c r="A214" s="4" t="s">
        <v>74</v>
      </c>
      <c r="B214" s="31" t="n">
        <v>1009244</v>
      </c>
      <c r="C214" s="4" t="s">
        <v>578</v>
      </c>
      <c r="D214" s="4" t="s">
        <v>407</v>
      </c>
      <c r="E214" s="4" t="s">
        <v>331</v>
      </c>
      <c r="F214" s="32" t="n">
        <v>0.68069512</v>
      </c>
      <c r="G214" s="33"/>
      <c r="H214" s="4" t="s">
        <v>579</v>
      </c>
    </row>
    <row r="215" customFormat="false" ht="15" hidden="false" customHeight="false" outlineLevel="0" collapsed="false">
      <c r="A215" s="4" t="s">
        <v>74</v>
      </c>
      <c r="B215" s="31" t="n">
        <v>1012272</v>
      </c>
      <c r="C215" s="4" t="s">
        <v>580</v>
      </c>
      <c r="D215" s="4" t="s">
        <v>311</v>
      </c>
      <c r="E215" s="4" t="s">
        <v>85</v>
      </c>
      <c r="F215" s="32" t="n">
        <v>1</v>
      </c>
      <c r="G215" s="33"/>
      <c r="H215" s="4" t="s">
        <v>484</v>
      </c>
    </row>
    <row r="216" customFormat="false" ht="15" hidden="false" customHeight="false" outlineLevel="0" collapsed="false">
      <c r="A216" s="4" t="s">
        <v>74</v>
      </c>
      <c r="B216" s="31" t="n">
        <v>1011767</v>
      </c>
      <c r="C216" s="4" t="s">
        <v>468</v>
      </c>
      <c r="D216" s="4" t="s">
        <v>311</v>
      </c>
      <c r="E216" s="4" t="s">
        <v>328</v>
      </c>
      <c r="F216" s="32" t="n">
        <v>0.157</v>
      </c>
      <c r="G216" s="34" t="n">
        <v>3669743</v>
      </c>
      <c r="H216" s="4" t="s">
        <v>469</v>
      </c>
    </row>
    <row r="217" customFormat="false" ht="15" hidden="false" customHeight="false" outlineLevel="0" collapsed="false">
      <c r="A217" s="4" t="s">
        <v>74</v>
      </c>
      <c r="B217" s="31" t="n">
        <v>1007694</v>
      </c>
      <c r="C217" s="4" t="s">
        <v>581</v>
      </c>
      <c r="D217" s="4" t="s">
        <v>322</v>
      </c>
      <c r="E217" s="4" t="s">
        <v>362</v>
      </c>
      <c r="F217" s="32" t="n">
        <v>1</v>
      </c>
      <c r="G217" s="34" t="n">
        <v>141735.316</v>
      </c>
      <c r="H217" s="4" t="s">
        <v>484</v>
      </c>
    </row>
    <row r="218" customFormat="false" ht="15" hidden="false" customHeight="false" outlineLevel="0" collapsed="false">
      <c r="A218" s="4" t="s">
        <v>74</v>
      </c>
      <c r="B218" s="31" t="n">
        <v>1010420</v>
      </c>
      <c r="C218" s="4" t="s">
        <v>582</v>
      </c>
      <c r="D218" s="4" t="s">
        <v>407</v>
      </c>
      <c r="E218" s="4" t="s">
        <v>331</v>
      </c>
      <c r="F218" s="32" t="n">
        <v>0.6807</v>
      </c>
      <c r="G218" s="33"/>
      <c r="H218" s="4" t="s">
        <v>583</v>
      </c>
    </row>
    <row r="219" customFormat="false" ht="15" hidden="false" customHeight="false" outlineLevel="0" collapsed="false">
      <c r="A219" s="4" t="s">
        <v>74</v>
      </c>
      <c r="B219" s="31" t="n">
        <v>1001872</v>
      </c>
      <c r="C219" s="4" t="s">
        <v>473</v>
      </c>
      <c r="D219" s="4" t="s">
        <v>307</v>
      </c>
      <c r="E219" s="4" t="s">
        <v>308</v>
      </c>
      <c r="F219" s="32" t="n">
        <v>0.012</v>
      </c>
      <c r="G219" s="33"/>
      <c r="H219" s="4" t="s">
        <v>309</v>
      </c>
    </row>
    <row r="220" customFormat="false" ht="15" hidden="false" customHeight="false" outlineLevel="0" collapsed="false">
      <c r="A220" s="4" t="s">
        <v>74</v>
      </c>
      <c r="B220" s="31" t="n">
        <v>1001962</v>
      </c>
      <c r="C220" s="4" t="s">
        <v>584</v>
      </c>
      <c r="D220" s="4" t="s">
        <v>322</v>
      </c>
      <c r="E220" s="4" t="s">
        <v>101</v>
      </c>
      <c r="F220" s="32" t="n">
        <v>0.5</v>
      </c>
      <c r="G220" s="34" t="n">
        <v>771321.482</v>
      </c>
      <c r="H220" s="4" t="s">
        <v>585</v>
      </c>
    </row>
    <row r="221" customFormat="false" ht="15" hidden="false" customHeight="false" outlineLevel="0" collapsed="false">
      <c r="A221" s="4" t="s">
        <v>74</v>
      </c>
      <c r="B221" s="31" t="n">
        <v>1002447</v>
      </c>
      <c r="C221" s="4" t="s">
        <v>477</v>
      </c>
      <c r="D221" s="4" t="s">
        <v>333</v>
      </c>
      <c r="E221" s="4" t="s">
        <v>328</v>
      </c>
      <c r="F221" s="32" t="n">
        <v>0.21</v>
      </c>
      <c r="G221" s="34" t="n">
        <v>21862.022</v>
      </c>
      <c r="H221" s="4" t="s">
        <v>478</v>
      </c>
    </row>
    <row r="222" customFormat="false" ht="15" hidden="false" customHeight="false" outlineLevel="0" collapsed="false">
      <c r="A222" s="4" t="s">
        <v>74</v>
      </c>
      <c r="B222" s="31" t="n">
        <v>1013204</v>
      </c>
      <c r="C222" s="4" t="s">
        <v>586</v>
      </c>
      <c r="D222" s="4" t="s">
        <v>322</v>
      </c>
      <c r="E222" s="4" t="s">
        <v>328</v>
      </c>
      <c r="F222" s="32" t="n">
        <v>0.6</v>
      </c>
      <c r="G222" s="34" t="n">
        <v>138798.064</v>
      </c>
      <c r="H222" s="4" t="s">
        <v>587</v>
      </c>
    </row>
    <row r="223" customFormat="false" ht="15" hidden="false" customHeight="false" outlineLevel="0" collapsed="false">
      <c r="A223" s="4" t="s">
        <v>74</v>
      </c>
      <c r="B223" s="31" t="n">
        <v>1009052</v>
      </c>
      <c r="C223" s="4" t="s">
        <v>588</v>
      </c>
      <c r="D223" s="4" t="s">
        <v>402</v>
      </c>
      <c r="E223" s="4" t="s">
        <v>308</v>
      </c>
      <c r="F223" s="32" t="n">
        <v>1</v>
      </c>
      <c r="G223" s="33"/>
      <c r="H223" s="4" t="s">
        <v>484</v>
      </c>
    </row>
    <row r="224" customFormat="false" ht="15" hidden="false" customHeight="false" outlineLevel="0" collapsed="false">
      <c r="A224" s="4" t="s">
        <v>81</v>
      </c>
      <c r="B224" s="31" t="n">
        <v>1005011</v>
      </c>
      <c r="C224" s="4" t="s">
        <v>589</v>
      </c>
      <c r="D224" s="4" t="s">
        <v>351</v>
      </c>
      <c r="E224" s="4" t="s">
        <v>85</v>
      </c>
      <c r="F224" s="32" t="n">
        <v>0.5</v>
      </c>
      <c r="G224" s="34" t="n">
        <v>101287.176</v>
      </c>
      <c r="H224" s="4" t="s">
        <v>590</v>
      </c>
    </row>
    <row r="225" customFormat="false" ht="15" hidden="false" customHeight="false" outlineLevel="0" collapsed="false">
      <c r="A225" s="4" t="s">
        <v>81</v>
      </c>
      <c r="B225" s="31" t="n">
        <v>1014820</v>
      </c>
      <c r="C225" s="4" t="s">
        <v>591</v>
      </c>
      <c r="D225" s="4" t="s">
        <v>335</v>
      </c>
      <c r="E225" s="4" t="s">
        <v>85</v>
      </c>
      <c r="F225" s="32" t="n">
        <v>1</v>
      </c>
      <c r="G225" s="34" t="n">
        <v>26235.216</v>
      </c>
      <c r="H225" s="4" t="s">
        <v>592</v>
      </c>
    </row>
    <row r="226" customFormat="false" ht="15" hidden="false" customHeight="false" outlineLevel="0" collapsed="false">
      <c r="A226" s="4" t="s">
        <v>81</v>
      </c>
      <c r="B226" s="31" t="n">
        <v>1004922</v>
      </c>
      <c r="C226" s="4" t="s">
        <v>593</v>
      </c>
      <c r="D226" s="4" t="s">
        <v>351</v>
      </c>
      <c r="E226" s="4" t="s">
        <v>85</v>
      </c>
      <c r="F226" s="32" t="n">
        <v>0.5</v>
      </c>
      <c r="G226" s="34" t="n">
        <v>106505.15</v>
      </c>
      <c r="H226" s="4" t="s">
        <v>590</v>
      </c>
    </row>
    <row r="227" customFormat="false" ht="15" hidden="false" customHeight="false" outlineLevel="0" collapsed="false">
      <c r="A227" s="4" t="s">
        <v>81</v>
      </c>
      <c r="B227" s="31" t="n">
        <v>1013726</v>
      </c>
      <c r="C227" s="4" t="s">
        <v>594</v>
      </c>
      <c r="D227" s="4" t="s">
        <v>311</v>
      </c>
      <c r="E227" s="4" t="s">
        <v>85</v>
      </c>
      <c r="F227" s="32" t="n">
        <v>1</v>
      </c>
      <c r="G227" s="34" t="n">
        <v>37632.698</v>
      </c>
      <c r="H227" s="4" t="s">
        <v>592</v>
      </c>
    </row>
    <row r="228" customFormat="false" ht="15" hidden="false" customHeight="false" outlineLevel="0" collapsed="false">
      <c r="A228" s="4" t="s">
        <v>81</v>
      </c>
      <c r="B228" s="31" t="n">
        <v>1002255</v>
      </c>
      <c r="C228" s="4" t="s">
        <v>595</v>
      </c>
      <c r="D228" s="4" t="s">
        <v>596</v>
      </c>
      <c r="E228" s="4" t="s">
        <v>331</v>
      </c>
      <c r="F228" s="32" t="n">
        <v>0.1</v>
      </c>
      <c r="G228" s="34" t="n">
        <v>6949647.31</v>
      </c>
      <c r="H228" s="4" t="s">
        <v>597</v>
      </c>
    </row>
    <row r="229" customFormat="false" ht="15" hidden="false" customHeight="false" outlineLevel="0" collapsed="false">
      <c r="A229" s="4" t="s">
        <v>81</v>
      </c>
      <c r="B229" s="31" t="n">
        <v>1004111</v>
      </c>
      <c r="C229" s="4" t="s">
        <v>598</v>
      </c>
      <c r="D229" s="4" t="s">
        <v>386</v>
      </c>
      <c r="E229" s="4" t="s">
        <v>308</v>
      </c>
      <c r="F229" s="32" t="n">
        <v>1</v>
      </c>
      <c r="G229" s="33"/>
      <c r="H229" s="4" t="s">
        <v>599</v>
      </c>
    </row>
    <row r="230" customFormat="false" ht="15" hidden="false" customHeight="false" outlineLevel="0" collapsed="false">
      <c r="A230" s="4" t="s">
        <v>81</v>
      </c>
      <c r="B230" s="31" t="n">
        <v>1004425</v>
      </c>
      <c r="C230" s="4" t="s">
        <v>600</v>
      </c>
      <c r="D230" s="4" t="s">
        <v>596</v>
      </c>
      <c r="E230" s="4" t="s">
        <v>331</v>
      </c>
      <c r="F230" s="32" t="n">
        <v>1</v>
      </c>
      <c r="G230" s="34" t="n">
        <v>4859424.94</v>
      </c>
      <c r="H230" s="4" t="s">
        <v>592</v>
      </c>
    </row>
    <row r="231" customFormat="false" ht="15" hidden="false" customHeight="false" outlineLevel="0" collapsed="false">
      <c r="A231" s="4" t="s">
        <v>81</v>
      </c>
      <c r="B231" s="31" t="n">
        <v>1006184</v>
      </c>
      <c r="C231" s="4" t="s">
        <v>601</v>
      </c>
      <c r="D231" s="4" t="s">
        <v>335</v>
      </c>
      <c r="E231" s="4" t="s">
        <v>331</v>
      </c>
      <c r="F231" s="32" t="n">
        <v>1</v>
      </c>
      <c r="G231" s="34" t="n">
        <v>110807.92</v>
      </c>
      <c r="H231" s="4" t="s">
        <v>592</v>
      </c>
    </row>
    <row r="232" customFormat="false" ht="15" hidden="false" customHeight="false" outlineLevel="0" collapsed="false">
      <c r="A232" s="4" t="s">
        <v>81</v>
      </c>
      <c r="B232" s="31" t="n">
        <v>1003995</v>
      </c>
      <c r="C232" s="4" t="s">
        <v>602</v>
      </c>
      <c r="D232" s="4" t="s">
        <v>375</v>
      </c>
      <c r="E232" s="4" t="s">
        <v>85</v>
      </c>
      <c r="F232" s="32" t="n">
        <v>1</v>
      </c>
      <c r="G232" s="34" t="n">
        <v>21724.686</v>
      </c>
      <c r="H232" s="4" t="s">
        <v>592</v>
      </c>
    </row>
    <row r="233" customFormat="false" ht="15" hidden="false" customHeight="false" outlineLevel="0" collapsed="false">
      <c r="A233" s="4" t="s">
        <v>81</v>
      </c>
      <c r="B233" s="31" t="n">
        <v>1004906</v>
      </c>
      <c r="C233" s="4" t="s">
        <v>603</v>
      </c>
      <c r="D233" s="4" t="s">
        <v>351</v>
      </c>
      <c r="E233" s="4" t="s">
        <v>85</v>
      </c>
      <c r="F233" s="32" t="n">
        <v>0.5</v>
      </c>
      <c r="G233" s="34" t="n">
        <v>104212.56</v>
      </c>
      <c r="H233" s="4" t="s">
        <v>590</v>
      </c>
    </row>
    <row r="234" customFormat="false" ht="15" hidden="false" customHeight="false" outlineLevel="0" collapsed="false">
      <c r="A234" s="4" t="s">
        <v>81</v>
      </c>
      <c r="B234" s="31" t="n">
        <v>1003681</v>
      </c>
      <c r="C234" s="4" t="s">
        <v>604</v>
      </c>
      <c r="D234" s="4" t="s">
        <v>311</v>
      </c>
      <c r="E234" s="4" t="s">
        <v>85</v>
      </c>
      <c r="F234" s="32" t="n">
        <v>1</v>
      </c>
      <c r="G234" s="34" t="n">
        <v>37276.574</v>
      </c>
      <c r="H234" s="4" t="s">
        <v>592</v>
      </c>
    </row>
    <row r="235" customFormat="false" ht="15" hidden="false" customHeight="false" outlineLevel="0" collapsed="false">
      <c r="A235" s="4" t="s">
        <v>81</v>
      </c>
      <c r="B235" s="31" t="n">
        <v>1010917</v>
      </c>
      <c r="C235" s="4" t="s">
        <v>605</v>
      </c>
      <c r="D235" s="4" t="s">
        <v>311</v>
      </c>
      <c r="E235" s="4" t="s">
        <v>331</v>
      </c>
      <c r="F235" s="32" t="n">
        <v>1</v>
      </c>
      <c r="G235" s="34" t="n">
        <v>29290925.652</v>
      </c>
      <c r="H235" s="4" t="s">
        <v>592</v>
      </c>
    </row>
    <row r="236" customFormat="false" ht="15" hidden="false" customHeight="false" outlineLevel="0" collapsed="false">
      <c r="A236" s="4" t="s">
        <v>81</v>
      </c>
      <c r="B236" s="31" t="n">
        <v>1003955</v>
      </c>
      <c r="C236" s="4" t="s">
        <v>606</v>
      </c>
      <c r="D236" s="4" t="s">
        <v>335</v>
      </c>
      <c r="E236" s="4" t="s">
        <v>331</v>
      </c>
      <c r="F236" s="32" t="n">
        <v>1</v>
      </c>
      <c r="G236" s="34" t="n">
        <v>27535.176</v>
      </c>
      <c r="H236" s="4" t="s">
        <v>592</v>
      </c>
    </row>
    <row r="237" customFormat="false" ht="15" hidden="false" customHeight="false" outlineLevel="0" collapsed="false">
      <c r="A237" s="4" t="s">
        <v>81</v>
      </c>
      <c r="B237" s="31" t="n">
        <v>1012616</v>
      </c>
      <c r="C237" s="4" t="s">
        <v>607</v>
      </c>
      <c r="D237" s="4" t="s">
        <v>351</v>
      </c>
      <c r="E237" s="4" t="s">
        <v>331</v>
      </c>
      <c r="F237" s="32" t="n">
        <v>1</v>
      </c>
      <c r="G237" s="34" t="n">
        <v>38364.758</v>
      </c>
      <c r="H237" s="4" t="s">
        <v>592</v>
      </c>
    </row>
    <row r="238" customFormat="false" ht="15" hidden="false" customHeight="false" outlineLevel="0" collapsed="false">
      <c r="A238" s="4" t="s">
        <v>81</v>
      </c>
      <c r="B238" s="31" t="n">
        <v>1011778</v>
      </c>
      <c r="C238" s="4" t="s">
        <v>608</v>
      </c>
      <c r="D238" s="4" t="s">
        <v>335</v>
      </c>
      <c r="E238" s="4" t="s">
        <v>308</v>
      </c>
      <c r="F238" s="32" t="n">
        <v>1</v>
      </c>
      <c r="G238" s="33"/>
      <c r="H238" s="4" t="s">
        <v>599</v>
      </c>
    </row>
    <row r="239" customFormat="false" ht="15" hidden="false" customHeight="false" outlineLevel="0" collapsed="false">
      <c r="A239" s="4" t="s">
        <v>81</v>
      </c>
      <c r="B239" s="31" t="n">
        <v>1004917</v>
      </c>
      <c r="C239" s="4" t="s">
        <v>609</v>
      </c>
      <c r="D239" s="4" t="s">
        <v>610</v>
      </c>
      <c r="E239" s="4" t="s">
        <v>85</v>
      </c>
      <c r="F239" s="32" t="n">
        <v>0.5</v>
      </c>
      <c r="G239" s="34" t="n">
        <v>103199.914</v>
      </c>
      <c r="H239" s="4" t="s">
        <v>590</v>
      </c>
    </row>
    <row r="240" customFormat="false" ht="15" hidden="false" customHeight="false" outlineLevel="0" collapsed="false">
      <c r="A240" s="4" t="s">
        <v>81</v>
      </c>
      <c r="B240" s="31" t="n">
        <v>1004418</v>
      </c>
      <c r="C240" s="4" t="s">
        <v>611</v>
      </c>
      <c r="D240" s="4" t="s">
        <v>335</v>
      </c>
      <c r="E240" s="4" t="s">
        <v>331</v>
      </c>
      <c r="F240" s="32" t="n">
        <v>1</v>
      </c>
      <c r="G240" s="33"/>
      <c r="H240" s="4" t="s">
        <v>592</v>
      </c>
    </row>
    <row r="241" customFormat="false" ht="15" hidden="false" customHeight="false" outlineLevel="0" collapsed="false">
      <c r="A241" s="4" t="s">
        <v>81</v>
      </c>
      <c r="B241" s="31" t="n">
        <v>1012618</v>
      </c>
      <c r="C241" s="4" t="s">
        <v>612</v>
      </c>
      <c r="D241" s="4" t="s">
        <v>335</v>
      </c>
      <c r="E241" s="4" t="s">
        <v>331</v>
      </c>
      <c r="F241" s="32" t="n">
        <v>1</v>
      </c>
      <c r="G241" s="34" t="n">
        <v>153187.76</v>
      </c>
      <c r="H241" s="4" t="s">
        <v>592</v>
      </c>
    </row>
    <row r="242" customFormat="false" ht="15" hidden="false" customHeight="false" outlineLevel="0" collapsed="false">
      <c r="A242" s="4" t="s">
        <v>81</v>
      </c>
      <c r="B242" s="31" t="n">
        <v>1004009</v>
      </c>
      <c r="C242" s="4" t="s">
        <v>613</v>
      </c>
      <c r="D242" s="4" t="s">
        <v>335</v>
      </c>
      <c r="E242" s="4" t="s">
        <v>85</v>
      </c>
      <c r="F242" s="32" t="n">
        <v>1</v>
      </c>
      <c r="G242" s="34" t="n">
        <v>29763.618</v>
      </c>
      <c r="H242" s="4" t="s">
        <v>592</v>
      </c>
    </row>
    <row r="243" customFormat="false" ht="15" hidden="false" customHeight="false" outlineLevel="0" collapsed="false">
      <c r="A243" s="4" t="s">
        <v>81</v>
      </c>
      <c r="B243" s="31" t="n">
        <v>1012667</v>
      </c>
      <c r="C243" s="4" t="s">
        <v>614</v>
      </c>
      <c r="D243" s="4" t="s">
        <v>335</v>
      </c>
      <c r="E243" s="4" t="s">
        <v>331</v>
      </c>
      <c r="F243" s="32" t="n">
        <v>1</v>
      </c>
      <c r="G243" s="34" t="n">
        <v>339385.728</v>
      </c>
      <c r="H243" s="4" t="s">
        <v>592</v>
      </c>
    </row>
    <row r="244" customFormat="false" ht="15" hidden="false" customHeight="false" outlineLevel="0" collapsed="false">
      <c r="A244" s="4" t="s">
        <v>81</v>
      </c>
      <c r="B244" s="31" t="n">
        <v>1003727</v>
      </c>
      <c r="C244" s="4" t="s">
        <v>615</v>
      </c>
      <c r="D244" s="4" t="s">
        <v>335</v>
      </c>
      <c r="E244" s="4" t="s">
        <v>331</v>
      </c>
      <c r="F244" s="32" t="n">
        <v>1</v>
      </c>
      <c r="G244" s="33"/>
      <c r="H244" s="4" t="s">
        <v>592</v>
      </c>
    </row>
    <row r="245" customFormat="false" ht="15" hidden="false" customHeight="false" outlineLevel="0" collapsed="false">
      <c r="A245" s="4" t="s">
        <v>81</v>
      </c>
      <c r="B245" s="31" t="n">
        <v>1004771</v>
      </c>
      <c r="C245" s="4" t="s">
        <v>616</v>
      </c>
      <c r="D245" s="4" t="s">
        <v>351</v>
      </c>
      <c r="E245" s="4" t="s">
        <v>85</v>
      </c>
      <c r="F245" s="32" t="n">
        <v>0.5</v>
      </c>
      <c r="G245" s="34" t="n">
        <v>98676.33</v>
      </c>
      <c r="H245" s="4" t="s">
        <v>590</v>
      </c>
    </row>
    <row r="246" customFormat="false" ht="15" hidden="false" customHeight="false" outlineLevel="0" collapsed="false">
      <c r="A246" s="4" t="s">
        <v>81</v>
      </c>
      <c r="B246" s="31" t="n">
        <v>1012659</v>
      </c>
      <c r="C246" s="4" t="s">
        <v>617</v>
      </c>
      <c r="D246" s="4" t="s">
        <v>335</v>
      </c>
      <c r="E246" s="4" t="s">
        <v>331</v>
      </c>
      <c r="F246" s="32" t="n">
        <v>1</v>
      </c>
      <c r="G246" s="34" t="n">
        <v>140440.764</v>
      </c>
      <c r="H246" s="4" t="s">
        <v>592</v>
      </c>
    </row>
    <row r="247" customFormat="false" ht="15" hidden="false" customHeight="false" outlineLevel="0" collapsed="false">
      <c r="A247" s="4" t="s">
        <v>81</v>
      </c>
      <c r="B247" s="31" t="n">
        <v>1010529</v>
      </c>
      <c r="C247" s="4" t="s">
        <v>618</v>
      </c>
      <c r="D247" s="4" t="s">
        <v>335</v>
      </c>
      <c r="E247" s="4" t="s">
        <v>308</v>
      </c>
      <c r="F247" s="32" t="n">
        <v>1</v>
      </c>
      <c r="G247" s="33"/>
      <c r="H247" s="4" t="s">
        <v>599</v>
      </c>
    </row>
    <row r="248" customFormat="false" ht="15" hidden="false" customHeight="false" outlineLevel="0" collapsed="false">
      <c r="A248" s="4" t="s">
        <v>81</v>
      </c>
      <c r="B248" s="31" t="n">
        <v>1009362</v>
      </c>
      <c r="C248" s="4" t="s">
        <v>619</v>
      </c>
      <c r="D248" s="4" t="s">
        <v>335</v>
      </c>
      <c r="E248" s="4" t="s">
        <v>308</v>
      </c>
      <c r="F248" s="32" t="n">
        <v>1</v>
      </c>
      <c r="G248" s="33"/>
      <c r="H248" s="4" t="s">
        <v>599</v>
      </c>
    </row>
    <row r="249" customFormat="false" ht="15" hidden="false" customHeight="false" outlineLevel="0" collapsed="false">
      <c r="A249" s="4" t="s">
        <v>81</v>
      </c>
      <c r="B249" s="31" t="n">
        <v>1004012</v>
      </c>
      <c r="C249" s="4" t="s">
        <v>620</v>
      </c>
      <c r="D249" s="4" t="s">
        <v>610</v>
      </c>
      <c r="E249" s="4" t="s">
        <v>85</v>
      </c>
      <c r="F249" s="32" t="n">
        <v>1</v>
      </c>
      <c r="G249" s="33"/>
      <c r="H249" s="4" t="s">
        <v>592</v>
      </c>
    </row>
    <row r="250" customFormat="false" ht="15" hidden="false" customHeight="false" outlineLevel="0" collapsed="false">
      <c r="A250" s="4" t="s">
        <v>81</v>
      </c>
      <c r="B250" s="31" t="n">
        <v>1006338</v>
      </c>
      <c r="C250" s="4" t="s">
        <v>621</v>
      </c>
      <c r="D250" s="4" t="s">
        <v>596</v>
      </c>
      <c r="E250" s="4" t="s">
        <v>101</v>
      </c>
      <c r="F250" s="32" t="n">
        <v>1</v>
      </c>
      <c r="G250" s="33"/>
      <c r="H250" s="4" t="s">
        <v>592</v>
      </c>
    </row>
    <row r="251" customFormat="false" ht="15" hidden="false" customHeight="false" outlineLevel="0" collapsed="false">
      <c r="A251" s="4" t="s">
        <v>81</v>
      </c>
      <c r="B251" s="31" t="n">
        <v>1006316</v>
      </c>
      <c r="C251" s="4" t="s">
        <v>622</v>
      </c>
      <c r="D251" s="4" t="s">
        <v>335</v>
      </c>
      <c r="E251" s="4" t="s">
        <v>331</v>
      </c>
      <c r="F251" s="32" t="n">
        <v>1</v>
      </c>
      <c r="G251" s="34" t="n">
        <v>22681</v>
      </c>
      <c r="H251" s="4" t="s">
        <v>592</v>
      </c>
    </row>
    <row r="252" customFormat="false" ht="15" hidden="false" customHeight="false" outlineLevel="0" collapsed="false">
      <c r="A252" s="4" t="s">
        <v>81</v>
      </c>
      <c r="B252" s="31" t="n">
        <v>1003973</v>
      </c>
      <c r="C252" s="4" t="s">
        <v>623</v>
      </c>
      <c r="D252" s="4" t="s">
        <v>335</v>
      </c>
      <c r="E252" s="4" t="s">
        <v>308</v>
      </c>
      <c r="F252" s="32" t="n">
        <v>1</v>
      </c>
      <c r="G252" s="33"/>
      <c r="H252" s="4" t="s">
        <v>599</v>
      </c>
    </row>
    <row r="253" customFormat="false" ht="15" hidden="false" customHeight="false" outlineLevel="0" collapsed="false">
      <c r="A253" s="4" t="s">
        <v>81</v>
      </c>
      <c r="B253" s="31" t="n">
        <v>1012506</v>
      </c>
      <c r="C253" s="4" t="s">
        <v>624</v>
      </c>
      <c r="D253" s="4" t="s">
        <v>311</v>
      </c>
      <c r="E253" s="4" t="s">
        <v>70</v>
      </c>
      <c r="F253" s="32" t="n">
        <v>1</v>
      </c>
      <c r="G253" s="34" t="n">
        <v>6252159.474</v>
      </c>
      <c r="H253" s="4" t="s">
        <v>592</v>
      </c>
    </row>
    <row r="254" customFormat="false" ht="15" hidden="false" customHeight="false" outlineLevel="0" collapsed="false">
      <c r="A254" s="4" t="s">
        <v>81</v>
      </c>
      <c r="B254" s="31" t="n">
        <v>1013103</v>
      </c>
      <c r="C254" s="4" t="s">
        <v>625</v>
      </c>
      <c r="D254" s="4" t="s">
        <v>335</v>
      </c>
      <c r="E254" s="4" t="s">
        <v>85</v>
      </c>
      <c r="F254" s="32" t="n">
        <v>1</v>
      </c>
      <c r="G254" s="33"/>
      <c r="H254" s="4" t="s">
        <v>592</v>
      </c>
    </row>
    <row r="255" customFormat="false" ht="15" hidden="false" customHeight="false" outlineLevel="0" collapsed="false">
      <c r="A255" s="4" t="s">
        <v>81</v>
      </c>
      <c r="B255" s="31" t="n">
        <v>1004912</v>
      </c>
      <c r="C255" s="4" t="s">
        <v>626</v>
      </c>
      <c r="D255" s="4" t="s">
        <v>351</v>
      </c>
      <c r="E255" s="4" t="s">
        <v>85</v>
      </c>
      <c r="F255" s="32" t="n">
        <v>0.5</v>
      </c>
      <c r="G255" s="34" t="n">
        <v>106376.302</v>
      </c>
      <c r="H255" s="4" t="s">
        <v>590</v>
      </c>
    </row>
    <row r="256" customFormat="false" ht="15" hidden="false" customHeight="false" outlineLevel="0" collapsed="false">
      <c r="A256" s="4" t="s">
        <v>81</v>
      </c>
      <c r="B256" s="31" t="n">
        <v>1008476</v>
      </c>
      <c r="C256" s="4" t="s">
        <v>627</v>
      </c>
      <c r="D256" s="4" t="s">
        <v>351</v>
      </c>
      <c r="E256" s="4" t="s">
        <v>331</v>
      </c>
      <c r="F256" s="32" t="n">
        <v>1</v>
      </c>
      <c r="G256" s="34" t="n">
        <v>52386.658</v>
      </c>
      <c r="H256" s="4" t="s">
        <v>592</v>
      </c>
    </row>
    <row r="257" customFormat="false" ht="15" hidden="false" customHeight="false" outlineLevel="0" collapsed="false">
      <c r="A257" s="4" t="s">
        <v>81</v>
      </c>
      <c r="B257" s="31" t="n">
        <v>1003738</v>
      </c>
      <c r="C257" s="4" t="s">
        <v>558</v>
      </c>
      <c r="D257" s="4" t="s">
        <v>335</v>
      </c>
      <c r="E257" s="4" t="s">
        <v>308</v>
      </c>
      <c r="F257" s="32" t="n">
        <v>0.7</v>
      </c>
      <c r="G257" s="33"/>
      <c r="H257" s="4" t="s">
        <v>559</v>
      </c>
    </row>
    <row r="258" customFormat="false" ht="15" hidden="false" customHeight="false" outlineLevel="0" collapsed="false">
      <c r="A258" s="4" t="s">
        <v>81</v>
      </c>
      <c r="B258" s="31" t="n">
        <v>1003736</v>
      </c>
      <c r="C258" s="4" t="s">
        <v>628</v>
      </c>
      <c r="D258" s="4" t="s">
        <v>335</v>
      </c>
      <c r="E258" s="4" t="s">
        <v>331</v>
      </c>
      <c r="F258" s="32" t="n">
        <v>1</v>
      </c>
      <c r="G258" s="34" t="n">
        <v>70208.318</v>
      </c>
      <c r="H258" s="4" t="s">
        <v>592</v>
      </c>
    </row>
    <row r="259" customFormat="false" ht="15" hidden="false" customHeight="false" outlineLevel="0" collapsed="false">
      <c r="A259" s="4" t="s">
        <v>81</v>
      </c>
      <c r="B259" s="31" t="n">
        <v>1003734</v>
      </c>
      <c r="C259" s="4" t="s">
        <v>629</v>
      </c>
      <c r="D259" s="4" t="s">
        <v>335</v>
      </c>
      <c r="E259" s="4" t="s">
        <v>331</v>
      </c>
      <c r="F259" s="32" t="n">
        <v>1</v>
      </c>
      <c r="G259" s="33"/>
      <c r="H259" s="4" t="s">
        <v>592</v>
      </c>
    </row>
    <row r="260" customFormat="false" ht="15" hidden="false" customHeight="false" outlineLevel="0" collapsed="false">
      <c r="A260" s="4" t="s">
        <v>81</v>
      </c>
      <c r="B260" s="31" t="n">
        <v>1004908</v>
      </c>
      <c r="C260" s="4" t="s">
        <v>630</v>
      </c>
      <c r="D260" s="4" t="s">
        <v>351</v>
      </c>
      <c r="E260" s="4" t="s">
        <v>85</v>
      </c>
      <c r="F260" s="32" t="n">
        <v>0.5</v>
      </c>
      <c r="G260" s="34" t="n">
        <v>101253.37</v>
      </c>
      <c r="H260" s="4" t="s">
        <v>590</v>
      </c>
    </row>
    <row r="261" customFormat="false" ht="15" hidden="false" customHeight="false" outlineLevel="0" collapsed="false">
      <c r="A261" s="4" t="s">
        <v>81</v>
      </c>
      <c r="B261" s="31" t="n">
        <v>1003671</v>
      </c>
      <c r="C261" s="4" t="s">
        <v>631</v>
      </c>
      <c r="D261" s="4" t="s">
        <v>610</v>
      </c>
      <c r="E261" s="4" t="s">
        <v>85</v>
      </c>
      <c r="F261" s="32" t="n">
        <v>1</v>
      </c>
      <c r="G261" s="33"/>
      <c r="H261" s="4" t="s">
        <v>592</v>
      </c>
    </row>
    <row r="262" customFormat="false" ht="15" hidden="false" customHeight="false" outlineLevel="0" collapsed="false">
      <c r="A262" s="4" t="s">
        <v>81</v>
      </c>
      <c r="B262" s="31" t="n">
        <v>1012658</v>
      </c>
      <c r="C262" s="4" t="s">
        <v>632</v>
      </c>
      <c r="D262" s="4" t="s">
        <v>335</v>
      </c>
      <c r="E262" s="4" t="s">
        <v>331</v>
      </c>
      <c r="F262" s="32" t="n">
        <v>1</v>
      </c>
      <c r="G262" s="34" t="n">
        <v>683805.892</v>
      </c>
      <c r="H262" s="4" t="s">
        <v>592</v>
      </c>
    </row>
    <row r="263" customFormat="false" ht="15" hidden="false" customHeight="false" outlineLevel="0" collapsed="false">
      <c r="A263" s="4" t="s">
        <v>81</v>
      </c>
      <c r="B263" s="31" t="n">
        <v>1003251</v>
      </c>
      <c r="C263" s="4" t="s">
        <v>633</v>
      </c>
      <c r="D263" s="4" t="s">
        <v>634</v>
      </c>
      <c r="E263" s="4" t="s">
        <v>556</v>
      </c>
      <c r="F263" s="32" t="n">
        <v>1</v>
      </c>
      <c r="G263" s="33"/>
      <c r="H263" s="4" t="s">
        <v>635</v>
      </c>
    </row>
    <row r="264" customFormat="false" ht="15" hidden="false" customHeight="false" outlineLevel="0" collapsed="false">
      <c r="A264" s="4" t="s">
        <v>81</v>
      </c>
      <c r="B264" s="31" t="n">
        <v>1004858</v>
      </c>
      <c r="C264" s="4" t="s">
        <v>636</v>
      </c>
      <c r="D264" s="4" t="s">
        <v>351</v>
      </c>
      <c r="E264" s="4" t="s">
        <v>85</v>
      </c>
      <c r="F264" s="32" t="n">
        <v>0.5</v>
      </c>
      <c r="G264" s="34" t="n">
        <v>106706.204</v>
      </c>
      <c r="H264" s="4" t="s">
        <v>590</v>
      </c>
    </row>
    <row r="265" customFormat="false" ht="15" hidden="false" customHeight="false" outlineLevel="0" collapsed="false">
      <c r="A265" s="4" t="s">
        <v>81</v>
      </c>
      <c r="B265" s="31" t="n">
        <v>1003682</v>
      </c>
      <c r="C265" s="4" t="s">
        <v>637</v>
      </c>
      <c r="D265" s="4" t="s">
        <v>311</v>
      </c>
      <c r="E265" s="4" t="s">
        <v>85</v>
      </c>
      <c r="F265" s="32" t="n">
        <v>1</v>
      </c>
      <c r="G265" s="34" t="n">
        <v>39519.112</v>
      </c>
      <c r="H265" s="4" t="s">
        <v>592</v>
      </c>
    </row>
    <row r="266" customFormat="false" ht="15" hidden="false" customHeight="false" outlineLevel="0" collapsed="false">
      <c r="A266" s="4" t="s">
        <v>81</v>
      </c>
      <c r="B266" s="31" t="n">
        <v>1007367</v>
      </c>
      <c r="C266" s="4" t="s">
        <v>638</v>
      </c>
      <c r="D266" s="4" t="s">
        <v>351</v>
      </c>
      <c r="E266" s="4" t="s">
        <v>331</v>
      </c>
      <c r="F266" s="32" t="n">
        <v>1</v>
      </c>
      <c r="G266" s="34" t="n">
        <v>472674.178</v>
      </c>
      <c r="H266" s="4" t="s">
        <v>592</v>
      </c>
    </row>
    <row r="267" customFormat="false" ht="15" hidden="false" customHeight="false" outlineLevel="0" collapsed="false">
      <c r="A267" s="4" t="s">
        <v>81</v>
      </c>
      <c r="B267" s="31" t="n">
        <v>1010302</v>
      </c>
      <c r="C267" s="4" t="s">
        <v>639</v>
      </c>
      <c r="D267" s="4" t="s">
        <v>351</v>
      </c>
      <c r="E267" s="4" t="s">
        <v>331</v>
      </c>
      <c r="F267" s="32" t="n">
        <v>1</v>
      </c>
      <c r="G267" s="34" t="n">
        <v>65313.922</v>
      </c>
      <c r="H267" s="4" t="s">
        <v>592</v>
      </c>
    </row>
    <row r="268" customFormat="false" ht="15" hidden="false" customHeight="false" outlineLevel="0" collapsed="false">
      <c r="A268" s="4" t="s">
        <v>81</v>
      </c>
      <c r="B268" s="31" t="n">
        <v>1004000</v>
      </c>
      <c r="C268" s="4" t="s">
        <v>640</v>
      </c>
      <c r="D268" s="4" t="s">
        <v>641</v>
      </c>
      <c r="E268" s="4" t="s">
        <v>85</v>
      </c>
      <c r="F268" s="32" t="n">
        <v>1</v>
      </c>
      <c r="G268" s="33"/>
      <c r="H268" s="4" t="s">
        <v>592</v>
      </c>
    </row>
    <row r="269" customFormat="false" ht="15" hidden="false" customHeight="false" outlineLevel="0" collapsed="false">
      <c r="A269" s="4" t="s">
        <v>81</v>
      </c>
      <c r="B269" s="31" t="n">
        <v>1003999</v>
      </c>
      <c r="C269" s="4" t="s">
        <v>642</v>
      </c>
      <c r="D269" s="4" t="s">
        <v>643</v>
      </c>
      <c r="E269" s="4" t="s">
        <v>85</v>
      </c>
      <c r="F269" s="32" t="n">
        <v>1</v>
      </c>
      <c r="G269" s="33"/>
      <c r="H269" s="4" t="s">
        <v>592</v>
      </c>
    </row>
    <row r="270" customFormat="false" ht="15" hidden="false" customHeight="false" outlineLevel="0" collapsed="false">
      <c r="A270" s="4" t="s">
        <v>81</v>
      </c>
      <c r="B270" s="31" t="n">
        <v>1012617</v>
      </c>
      <c r="C270" s="4" t="s">
        <v>644</v>
      </c>
      <c r="D270" s="4" t="s">
        <v>351</v>
      </c>
      <c r="E270" s="4" t="s">
        <v>331</v>
      </c>
      <c r="F270" s="32" t="n">
        <v>1</v>
      </c>
      <c r="G270" s="34" t="n">
        <v>39229.508</v>
      </c>
      <c r="H270" s="4" t="s">
        <v>592</v>
      </c>
    </row>
    <row r="271" customFormat="false" ht="15" hidden="false" customHeight="false" outlineLevel="0" collapsed="false">
      <c r="A271" s="4" t="s">
        <v>81</v>
      </c>
      <c r="B271" s="31" t="n">
        <v>1004002</v>
      </c>
      <c r="C271" s="4" t="s">
        <v>645</v>
      </c>
      <c r="D271" s="4" t="s">
        <v>375</v>
      </c>
      <c r="E271" s="4" t="s">
        <v>85</v>
      </c>
      <c r="F271" s="32" t="n">
        <v>1</v>
      </c>
      <c r="G271" s="33"/>
      <c r="H271" s="4" t="s">
        <v>592</v>
      </c>
    </row>
    <row r="272" customFormat="false" ht="15" hidden="false" customHeight="false" outlineLevel="0" collapsed="false">
      <c r="A272" s="4" t="s">
        <v>81</v>
      </c>
      <c r="B272" s="31" t="n">
        <v>1013955</v>
      </c>
      <c r="C272" s="4" t="s">
        <v>646</v>
      </c>
      <c r="D272" s="4" t="s">
        <v>351</v>
      </c>
      <c r="E272" s="4" t="s">
        <v>331</v>
      </c>
      <c r="F272" s="32" t="n">
        <v>1</v>
      </c>
      <c r="G272" s="34" t="n">
        <v>80601.904</v>
      </c>
      <c r="H272" s="4" t="s">
        <v>592</v>
      </c>
    </row>
    <row r="273" customFormat="false" ht="15" hidden="false" customHeight="false" outlineLevel="0" collapsed="false">
      <c r="A273" s="4" t="s">
        <v>81</v>
      </c>
      <c r="B273" s="31" t="n">
        <v>1013109</v>
      </c>
      <c r="C273" s="4" t="s">
        <v>647</v>
      </c>
      <c r="D273" s="4" t="s">
        <v>335</v>
      </c>
      <c r="E273" s="4" t="s">
        <v>85</v>
      </c>
      <c r="F273" s="32" t="n">
        <v>1</v>
      </c>
      <c r="G273" s="34" t="n">
        <v>7052.35</v>
      </c>
      <c r="H273" s="4" t="s">
        <v>592</v>
      </c>
    </row>
    <row r="274" customFormat="false" ht="15" hidden="false" customHeight="false" outlineLevel="0" collapsed="false">
      <c r="A274" s="4" t="s">
        <v>81</v>
      </c>
      <c r="B274" s="31" t="n">
        <v>1004715</v>
      </c>
      <c r="C274" s="4" t="s">
        <v>648</v>
      </c>
      <c r="D274" s="4" t="s">
        <v>596</v>
      </c>
      <c r="E274" s="4" t="s">
        <v>331</v>
      </c>
      <c r="F274" s="32" t="n">
        <v>1</v>
      </c>
      <c r="G274" s="34" t="n">
        <v>21488989.72</v>
      </c>
      <c r="H274" s="4" t="s">
        <v>592</v>
      </c>
    </row>
    <row r="275" customFormat="false" ht="15" hidden="false" customHeight="false" outlineLevel="0" collapsed="false">
      <c r="A275" s="4" t="s">
        <v>81</v>
      </c>
      <c r="B275" s="31" t="n">
        <v>1006368</v>
      </c>
      <c r="C275" s="4" t="s">
        <v>649</v>
      </c>
      <c r="D275" s="4" t="s">
        <v>610</v>
      </c>
      <c r="E275" s="4" t="s">
        <v>85</v>
      </c>
      <c r="F275" s="32" t="n">
        <v>0.5</v>
      </c>
      <c r="G275" s="34" t="n">
        <v>100320.974</v>
      </c>
      <c r="H275" s="4" t="s">
        <v>590</v>
      </c>
    </row>
    <row r="276" customFormat="false" ht="15" hidden="false" customHeight="false" outlineLevel="0" collapsed="false">
      <c r="A276" s="4" t="s">
        <v>81</v>
      </c>
      <c r="B276" s="31" t="n">
        <v>1012619</v>
      </c>
      <c r="C276" s="4" t="s">
        <v>650</v>
      </c>
      <c r="D276" s="4" t="s">
        <v>335</v>
      </c>
      <c r="E276" s="4" t="s">
        <v>331</v>
      </c>
      <c r="F276" s="32" t="n">
        <v>1</v>
      </c>
      <c r="G276" s="34" t="n">
        <v>50514.884</v>
      </c>
      <c r="H276" s="4" t="s">
        <v>592</v>
      </c>
    </row>
    <row r="277" customFormat="false" ht="15" hidden="false" customHeight="false" outlineLevel="0" collapsed="false">
      <c r="A277" s="4" t="s">
        <v>81</v>
      </c>
      <c r="B277" s="31" t="n">
        <v>1010547</v>
      </c>
      <c r="C277" s="4" t="s">
        <v>651</v>
      </c>
      <c r="D277" s="4" t="s">
        <v>335</v>
      </c>
      <c r="E277" s="4" t="s">
        <v>331</v>
      </c>
      <c r="F277" s="32" t="n">
        <v>1</v>
      </c>
      <c r="G277" s="34" t="n">
        <v>55212.078</v>
      </c>
      <c r="H277" s="4" t="s">
        <v>592</v>
      </c>
    </row>
    <row r="278" customFormat="false" ht="15" hidden="false" customHeight="false" outlineLevel="0" collapsed="false">
      <c r="A278" s="4" t="s">
        <v>81</v>
      </c>
      <c r="B278" s="31" t="n">
        <v>1013730</v>
      </c>
      <c r="C278" s="4" t="s">
        <v>652</v>
      </c>
      <c r="D278" s="4" t="s">
        <v>311</v>
      </c>
      <c r="E278" s="4" t="s">
        <v>85</v>
      </c>
      <c r="F278" s="32" t="n">
        <v>1</v>
      </c>
      <c r="G278" s="34" t="n">
        <v>28608.296</v>
      </c>
      <c r="H278" s="4" t="s">
        <v>592</v>
      </c>
    </row>
    <row r="279" customFormat="false" ht="15" hidden="false" customHeight="false" outlineLevel="0" collapsed="false">
      <c r="A279" s="4" t="s">
        <v>81</v>
      </c>
      <c r="B279" s="31" t="n">
        <v>1005045</v>
      </c>
      <c r="C279" s="4" t="s">
        <v>653</v>
      </c>
      <c r="D279" s="4" t="s">
        <v>311</v>
      </c>
      <c r="E279" s="4" t="s">
        <v>331</v>
      </c>
      <c r="F279" s="32" t="n">
        <v>0.8</v>
      </c>
      <c r="G279" s="34" t="n">
        <v>11965080.282</v>
      </c>
      <c r="H279" s="4" t="s">
        <v>654</v>
      </c>
    </row>
    <row r="280" customFormat="false" ht="15" hidden="false" customHeight="false" outlineLevel="0" collapsed="false">
      <c r="A280" s="4" t="s">
        <v>88</v>
      </c>
      <c r="B280" s="31" t="n">
        <v>1006144</v>
      </c>
      <c r="C280" s="4" t="s">
        <v>655</v>
      </c>
      <c r="D280" s="4" t="s">
        <v>503</v>
      </c>
      <c r="E280" s="4" t="s">
        <v>93</v>
      </c>
      <c r="F280" s="32" t="n">
        <v>1</v>
      </c>
      <c r="G280" s="34" t="n">
        <v>81932.32</v>
      </c>
      <c r="H280" s="4" t="s">
        <v>656</v>
      </c>
    </row>
    <row r="281" customFormat="false" ht="15" hidden="false" customHeight="false" outlineLevel="0" collapsed="false">
      <c r="A281" s="4" t="s">
        <v>88</v>
      </c>
      <c r="B281" s="31" t="n">
        <v>1005976</v>
      </c>
      <c r="C281" s="4" t="s">
        <v>657</v>
      </c>
      <c r="D281" s="4" t="s">
        <v>367</v>
      </c>
      <c r="E281" s="4" t="s">
        <v>93</v>
      </c>
      <c r="F281" s="32" t="n">
        <v>1</v>
      </c>
      <c r="G281" s="34" t="n">
        <v>452134.224</v>
      </c>
      <c r="H281" s="4" t="s">
        <v>656</v>
      </c>
    </row>
    <row r="282" customFormat="false" ht="15" hidden="false" customHeight="false" outlineLevel="0" collapsed="false">
      <c r="A282" s="4" t="s">
        <v>88</v>
      </c>
      <c r="B282" s="31" t="n">
        <v>1003093</v>
      </c>
      <c r="C282" s="4" t="s">
        <v>658</v>
      </c>
      <c r="D282" s="4" t="s">
        <v>641</v>
      </c>
      <c r="E282" s="4" t="s">
        <v>93</v>
      </c>
      <c r="F282" s="32" t="n">
        <v>1</v>
      </c>
      <c r="G282" s="34" t="n">
        <v>141215.124</v>
      </c>
      <c r="H282" s="4" t="s">
        <v>656</v>
      </c>
    </row>
    <row r="283" customFormat="false" ht="15" hidden="false" customHeight="false" outlineLevel="0" collapsed="false">
      <c r="A283" s="4" t="s">
        <v>88</v>
      </c>
      <c r="B283" s="31" t="n">
        <v>1007642</v>
      </c>
      <c r="C283" s="4" t="s">
        <v>659</v>
      </c>
      <c r="D283" s="4" t="s">
        <v>346</v>
      </c>
      <c r="E283" s="4" t="s">
        <v>93</v>
      </c>
      <c r="F283" s="32" t="n">
        <v>0.51</v>
      </c>
      <c r="G283" s="34" t="n">
        <v>375416.836</v>
      </c>
      <c r="H283" s="4" t="s">
        <v>660</v>
      </c>
    </row>
    <row r="284" customFormat="false" ht="15" hidden="false" customHeight="false" outlineLevel="0" collapsed="false">
      <c r="A284" s="4" t="s">
        <v>88</v>
      </c>
      <c r="B284" s="31" t="n">
        <v>1013719</v>
      </c>
      <c r="C284" s="4" t="s">
        <v>661</v>
      </c>
      <c r="D284" s="4" t="s">
        <v>662</v>
      </c>
      <c r="E284" s="4" t="s">
        <v>93</v>
      </c>
      <c r="F284" s="32" t="n">
        <v>1</v>
      </c>
      <c r="G284" s="34" t="n">
        <v>25760.684</v>
      </c>
      <c r="H284" s="4" t="s">
        <v>656</v>
      </c>
    </row>
    <row r="285" customFormat="false" ht="15" hidden="false" customHeight="false" outlineLevel="0" collapsed="false">
      <c r="A285" s="4" t="s">
        <v>88</v>
      </c>
      <c r="B285" s="31" t="n">
        <v>1004152</v>
      </c>
      <c r="C285" s="4" t="s">
        <v>663</v>
      </c>
      <c r="D285" s="4" t="s">
        <v>367</v>
      </c>
      <c r="E285" s="4" t="s">
        <v>93</v>
      </c>
      <c r="F285" s="32" t="n">
        <v>1</v>
      </c>
      <c r="G285" s="34" t="n">
        <v>78877.922</v>
      </c>
      <c r="H285" s="4" t="s">
        <v>656</v>
      </c>
    </row>
    <row r="286" customFormat="false" ht="15" hidden="false" customHeight="false" outlineLevel="0" collapsed="false">
      <c r="A286" s="4" t="s">
        <v>88</v>
      </c>
      <c r="B286" s="31" t="n">
        <v>1005700</v>
      </c>
      <c r="C286" s="4" t="s">
        <v>664</v>
      </c>
      <c r="D286" s="4" t="s">
        <v>665</v>
      </c>
      <c r="E286" s="4" t="s">
        <v>93</v>
      </c>
      <c r="F286" s="32" t="n">
        <v>1</v>
      </c>
      <c r="G286" s="34" t="n">
        <v>378215.676</v>
      </c>
      <c r="H286" s="4" t="s">
        <v>656</v>
      </c>
    </row>
    <row r="287" customFormat="false" ht="15" hidden="false" customHeight="false" outlineLevel="0" collapsed="false">
      <c r="A287" s="4" t="s">
        <v>88</v>
      </c>
      <c r="B287" s="31" t="n">
        <v>1007577</v>
      </c>
      <c r="C287" s="4" t="s">
        <v>666</v>
      </c>
      <c r="D287" s="4" t="s">
        <v>667</v>
      </c>
      <c r="E287" s="4" t="s">
        <v>93</v>
      </c>
      <c r="F287" s="32" t="n">
        <v>1</v>
      </c>
      <c r="G287" s="34" t="n">
        <v>67861.856</v>
      </c>
      <c r="H287" s="4" t="s">
        <v>656</v>
      </c>
    </row>
    <row r="288" customFormat="false" ht="15" hidden="false" customHeight="false" outlineLevel="0" collapsed="false">
      <c r="A288" s="4" t="s">
        <v>88</v>
      </c>
      <c r="B288" s="31" t="n">
        <v>1002266</v>
      </c>
      <c r="C288" s="4" t="s">
        <v>668</v>
      </c>
      <c r="D288" s="4" t="s">
        <v>669</v>
      </c>
      <c r="E288" s="4" t="s">
        <v>93</v>
      </c>
      <c r="F288" s="32" t="n">
        <v>1</v>
      </c>
      <c r="G288" s="34" t="n">
        <v>598948.496</v>
      </c>
      <c r="H288" s="4" t="s">
        <v>656</v>
      </c>
    </row>
    <row r="289" customFormat="false" ht="15" hidden="false" customHeight="false" outlineLevel="0" collapsed="false">
      <c r="A289" s="4" t="s">
        <v>88</v>
      </c>
      <c r="B289" s="31" t="n">
        <v>1002621</v>
      </c>
      <c r="C289" s="4" t="s">
        <v>670</v>
      </c>
      <c r="D289" s="4" t="s">
        <v>375</v>
      </c>
      <c r="E289" s="4" t="s">
        <v>93</v>
      </c>
      <c r="F289" s="32" t="n">
        <v>1</v>
      </c>
      <c r="G289" s="34" t="n">
        <v>120039.208</v>
      </c>
      <c r="H289" s="4" t="s">
        <v>656</v>
      </c>
    </row>
    <row r="290" customFormat="false" ht="15" hidden="false" customHeight="false" outlineLevel="0" collapsed="false">
      <c r="A290" s="4" t="s">
        <v>88</v>
      </c>
      <c r="B290" s="31" t="n">
        <v>1010766</v>
      </c>
      <c r="C290" s="4" t="s">
        <v>671</v>
      </c>
      <c r="D290" s="4" t="s">
        <v>322</v>
      </c>
      <c r="E290" s="4" t="s">
        <v>93</v>
      </c>
      <c r="F290" s="32" t="n">
        <v>1</v>
      </c>
      <c r="G290" s="34" t="n">
        <v>1086837.452</v>
      </c>
      <c r="H290" s="4" t="s">
        <v>656</v>
      </c>
    </row>
    <row r="291" customFormat="false" ht="15" hidden="false" customHeight="false" outlineLevel="0" collapsed="false">
      <c r="A291" s="4" t="s">
        <v>88</v>
      </c>
      <c r="B291" s="31" t="n">
        <v>1007695</v>
      </c>
      <c r="C291" s="4" t="s">
        <v>672</v>
      </c>
      <c r="D291" s="4" t="s">
        <v>673</v>
      </c>
      <c r="E291" s="4" t="s">
        <v>93</v>
      </c>
      <c r="F291" s="32" t="n">
        <v>1</v>
      </c>
      <c r="G291" s="34" t="n">
        <v>190236.48</v>
      </c>
      <c r="H291" s="4" t="s">
        <v>656</v>
      </c>
    </row>
    <row r="292" customFormat="false" ht="15" hidden="false" customHeight="false" outlineLevel="0" collapsed="false">
      <c r="A292" s="4" t="s">
        <v>88</v>
      </c>
      <c r="B292" s="31" t="n">
        <v>1013487</v>
      </c>
      <c r="C292" s="4" t="s">
        <v>674</v>
      </c>
      <c r="D292" s="4" t="s">
        <v>675</v>
      </c>
      <c r="E292" s="4" t="s">
        <v>93</v>
      </c>
      <c r="F292" s="32" t="n">
        <v>1</v>
      </c>
      <c r="G292" s="34" t="n">
        <v>35012.04</v>
      </c>
      <c r="H292" s="4" t="s">
        <v>656</v>
      </c>
    </row>
    <row r="293" customFormat="false" ht="15" hidden="false" customHeight="false" outlineLevel="0" collapsed="false">
      <c r="A293" s="4" t="s">
        <v>88</v>
      </c>
      <c r="B293" s="31" t="n">
        <v>1002958</v>
      </c>
      <c r="C293" s="4" t="s">
        <v>676</v>
      </c>
      <c r="D293" s="4" t="s">
        <v>677</v>
      </c>
      <c r="E293" s="4" t="s">
        <v>93</v>
      </c>
      <c r="F293" s="32" t="n">
        <v>1</v>
      </c>
      <c r="G293" s="34" t="n">
        <v>216464.492</v>
      </c>
      <c r="H293" s="4" t="s">
        <v>656</v>
      </c>
    </row>
    <row r="294" customFormat="false" ht="15" hidden="false" customHeight="false" outlineLevel="0" collapsed="false">
      <c r="A294" s="4" t="s">
        <v>88</v>
      </c>
      <c r="B294" s="31" t="n">
        <v>1006761</v>
      </c>
      <c r="C294" s="4" t="s">
        <v>678</v>
      </c>
      <c r="D294" s="4" t="s">
        <v>402</v>
      </c>
      <c r="E294" s="4" t="s">
        <v>679</v>
      </c>
      <c r="F294" s="32" t="n">
        <v>0.51</v>
      </c>
      <c r="G294" s="34" t="n">
        <v>164102.332</v>
      </c>
      <c r="H294" s="4" t="s">
        <v>680</v>
      </c>
    </row>
    <row r="295" customFormat="false" ht="15" hidden="false" customHeight="false" outlineLevel="0" collapsed="false">
      <c r="A295" s="4" t="s">
        <v>88</v>
      </c>
      <c r="B295" s="31" t="n">
        <v>1007921</v>
      </c>
      <c r="C295" s="4" t="s">
        <v>681</v>
      </c>
      <c r="D295" s="4" t="s">
        <v>346</v>
      </c>
      <c r="E295" s="4" t="s">
        <v>93</v>
      </c>
      <c r="F295" s="32" t="n">
        <v>1</v>
      </c>
      <c r="G295" s="34" t="n">
        <v>372388.688</v>
      </c>
      <c r="H295" s="4" t="s">
        <v>656</v>
      </c>
    </row>
    <row r="296" customFormat="false" ht="15" hidden="false" customHeight="false" outlineLevel="0" collapsed="false">
      <c r="A296" s="4" t="s">
        <v>88</v>
      </c>
      <c r="B296" s="31" t="n">
        <v>1005832</v>
      </c>
      <c r="C296" s="4" t="s">
        <v>682</v>
      </c>
      <c r="D296" s="4" t="s">
        <v>311</v>
      </c>
      <c r="E296" s="4" t="s">
        <v>93</v>
      </c>
      <c r="F296" s="32" t="n">
        <v>1</v>
      </c>
      <c r="G296" s="34" t="n">
        <v>181047.508</v>
      </c>
      <c r="H296" s="4" t="s">
        <v>656</v>
      </c>
    </row>
    <row r="297" customFormat="false" ht="15" hidden="false" customHeight="false" outlineLevel="0" collapsed="false">
      <c r="A297" s="4" t="s">
        <v>88</v>
      </c>
      <c r="B297" s="31" t="n">
        <v>1003457</v>
      </c>
      <c r="C297" s="4" t="s">
        <v>683</v>
      </c>
      <c r="D297" s="4" t="s">
        <v>367</v>
      </c>
      <c r="E297" s="4" t="s">
        <v>93</v>
      </c>
      <c r="F297" s="32" t="n">
        <v>1</v>
      </c>
      <c r="G297" s="34" t="n">
        <v>199908.716</v>
      </c>
      <c r="H297" s="4" t="s">
        <v>656</v>
      </c>
    </row>
    <row r="298" customFormat="false" ht="15" hidden="false" customHeight="false" outlineLevel="0" collapsed="false">
      <c r="A298" s="4" t="s">
        <v>88</v>
      </c>
      <c r="B298" s="31" t="n">
        <v>1005777</v>
      </c>
      <c r="C298" s="4" t="s">
        <v>684</v>
      </c>
      <c r="D298" s="4" t="s">
        <v>460</v>
      </c>
      <c r="E298" s="4" t="s">
        <v>93</v>
      </c>
      <c r="F298" s="32" t="n">
        <v>1</v>
      </c>
      <c r="G298" s="34" t="n">
        <v>243502.736</v>
      </c>
      <c r="H298" s="4" t="s">
        <v>656</v>
      </c>
    </row>
    <row r="299" customFormat="false" ht="15" hidden="false" customHeight="false" outlineLevel="0" collapsed="false">
      <c r="A299" s="4" t="s">
        <v>88</v>
      </c>
      <c r="B299" s="31" t="n">
        <v>1000029</v>
      </c>
      <c r="C299" s="4" t="s">
        <v>685</v>
      </c>
      <c r="D299" s="4" t="s">
        <v>686</v>
      </c>
      <c r="E299" s="4" t="s">
        <v>93</v>
      </c>
      <c r="F299" s="32" t="n">
        <v>1</v>
      </c>
      <c r="G299" s="34" t="n">
        <v>82395.852</v>
      </c>
      <c r="H299" s="4" t="s">
        <v>656</v>
      </c>
    </row>
    <row r="300" customFormat="false" ht="15" hidden="false" customHeight="false" outlineLevel="0" collapsed="false">
      <c r="A300" s="4" t="s">
        <v>88</v>
      </c>
      <c r="B300" s="31" t="n">
        <v>1007946</v>
      </c>
      <c r="C300" s="4" t="s">
        <v>687</v>
      </c>
      <c r="D300" s="4" t="s">
        <v>669</v>
      </c>
      <c r="E300" s="4" t="s">
        <v>93</v>
      </c>
      <c r="F300" s="32" t="n">
        <v>1</v>
      </c>
      <c r="G300" s="34" t="n">
        <v>185444.564</v>
      </c>
      <c r="H300" s="4" t="s">
        <v>656</v>
      </c>
    </row>
    <row r="301" customFormat="false" ht="15" hidden="false" customHeight="false" outlineLevel="0" collapsed="false">
      <c r="A301" s="4" t="s">
        <v>88</v>
      </c>
      <c r="B301" s="31" t="n">
        <v>1004151</v>
      </c>
      <c r="C301" s="4" t="s">
        <v>688</v>
      </c>
      <c r="D301" s="4" t="s">
        <v>643</v>
      </c>
      <c r="E301" s="4" t="s">
        <v>93</v>
      </c>
      <c r="F301" s="32" t="n">
        <v>1</v>
      </c>
      <c r="G301" s="34" t="n">
        <v>255383.476</v>
      </c>
      <c r="H301" s="4" t="s">
        <v>656</v>
      </c>
    </row>
    <row r="302" customFormat="false" ht="15" hidden="false" customHeight="false" outlineLevel="0" collapsed="false">
      <c r="A302" s="4" t="s">
        <v>88</v>
      </c>
      <c r="B302" s="31" t="n">
        <v>1012352</v>
      </c>
      <c r="C302" s="4" t="s">
        <v>689</v>
      </c>
      <c r="D302" s="4" t="s">
        <v>311</v>
      </c>
      <c r="E302" s="4" t="s">
        <v>93</v>
      </c>
      <c r="F302" s="32" t="n">
        <v>1</v>
      </c>
      <c r="G302" s="34" t="n">
        <v>59004.584</v>
      </c>
      <c r="H302" s="4" t="s">
        <v>656</v>
      </c>
    </row>
    <row r="303" customFormat="false" ht="15" hidden="false" customHeight="false" outlineLevel="0" collapsed="false">
      <c r="A303" s="4" t="s">
        <v>88</v>
      </c>
      <c r="B303" s="31" t="n">
        <v>1006341</v>
      </c>
      <c r="C303" s="4" t="s">
        <v>690</v>
      </c>
      <c r="D303" s="4" t="s">
        <v>691</v>
      </c>
      <c r="E303" s="4" t="s">
        <v>93</v>
      </c>
      <c r="F303" s="32" t="n">
        <v>1</v>
      </c>
      <c r="G303" s="34" t="n">
        <v>80823.548</v>
      </c>
      <c r="H303" s="4" t="s">
        <v>656</v>
      </c>
    </row>
    <row r="304" customFormat="false" ht="15" hidden="false" customHeight="false" outlineLevel="0" collapsed="false">
      <c r="A304" s="4" t="s">
        <v>88</v>
      </c>
      <c r="B304" s="31" t="n">
        <v>1013493</v>
      </c>
      <c r="C304" s="4" t="s">
        <v>692</v>
      </c>
      <c r="D304" s="4" t="s">
        <v>643</v>
      </c>
      <c r="E304" s="4" t="s">
        <v>693</v>
      </c>
      <c r="F304" s="32" t="n">
        <v>1</v>
      </c>
      <c r="G304" s="34" t="n">
        <v>24255.708</v>
      </c>
      <c r="H304" s="4" t="s">
        <v>656</v>
      </c>
    </row>
    <row r="305" customFormat="false" ht="15" hidden="false" customHeight="false" outlineLevel="0" collapsed="false">
      <c r="A305" s="4" t="s">
        <v>88</v>
      </c>
      <c r="B305" s="31" t="n">
        <v>1014582</v>
      </c>
      <c r="C305" s="4" t="s">
        <v>694</v>
      </c>
      <c r="D305" s="4" t="s">
        <v>665</v>
      </c>
      <c r="E305" s="4" t="s">
        <v>93</v>
      </c>
      <c r="F305" s="32" t="n">
        <v>1</v>
      </c>
      <c r="G305" s="34" t="n">
        <v>64560.104</v>
      </c>
      <c r="H305" s="4" t="s">
        <v>656</v>
      </c>
    </row>
    <row r="306" customFormat="false" ht="15" hidden="false" customHeight="false" outlineLevel="0" collapsed="false">
      <c r="A306" s="4" t="s">
        <v>97</v>
      </c>
      <c r="B306" s="31" t="n">
        <v>1002460</v>
      </c>
      <c r="C306" s="4" t="s">
        <v>695</v>
      </c>
      <c r="D306" s="4" t="s">
        <v>311</v>
      </c>
      <c r="E306" s="4" t="s">
        <v>101</v>
      </c>
      <c r="F306" s="32" t="n">
        <v>1</v>
      </c>
      <c r="G306" s="33"/>
      <c r="H306" s="4" t="s">
        <v>696</v>
      </c>
    </row>
    <row r="307" customFormat="false" ht="15" hidden="false" customHeight="false" outlineLevel="0" collapsed="false">
      <c r="A307" s="4" t="s">
        <v>106</v>
      </c>
      <c r="B307" s="31" t="n">
        <v>1006900</v>
      </c>
      <c r="C307" s="4" t="s">
        <v>697</v>
      </c>
      <c r="D307" s="4" t="s">
        <v>311</v>
      </c>
      <c r="E307" s="4" t="s">
        <v>698</v>
      </c>
      <c r="F307" s="32" t="n">
        <v>1</v>
      </c>
      <c r="G307" s="33"/>
      <c r="H307" s="4" t="s">
        <v>699</v>
      </c>
    </row>
    <row r="308" customFormat="false" ht="15" hidden="false" customHeight="false" outlineLevel="0" collapsed="false">
      <c r="A308" s="4" t="s">
        <v>123</v>
      </c>
      <c r="B308" s="31" t="n">
        <v>1005990</v>
      </c>
      <c r="C308" s="4" t="s">
        <v>700</v>
      </c>
      <c r="D308" s="4" t="s">
        <v>375</v>
      </c>
      <c r="E308" s="4" t="s">
        <v>701</v>
      </c>
      <c r="F308" s="32" t="n">
        <v>1</v>
      </c>
      <c r="G308" s="34" t="n">
        <v>189158.328</v>
      </c>
      <c r="H308" s="4" t="s">
        <v>702</v>
      </c>
    </row>
    <row r="309" customFormat="false" ht="15" hidden="false" customHeight="false" outlineLevel="0" collapsed="false">
      <c r="A309" s="4" t="s">
        <v>123</v>
      </c>
      <c r="B309" s="31" t="n">
        <v>1006553</v>
      </c>
      <c r="C309" s="4" t="s">
        <v>703</v>
      </c>
      <c r="D309" s="4" t="s">
        <v>375</v>
      </c>
      <c r="E309" s="4" t="s">
        <v>281</v>
      </c>
      <c r="F309" s="32" t="n">
        <v>1</v>
      </c>
      <c r="G309" s="34" t="n">
        <v>96956.784</v>
      </c>
      <c r="H309" s="4" t="s">
        <v>702</v>
      </c>
    </row>
    <row r="310" customFormat="false" ht="15" hidden="false" customHeight="false" outlineLevel="0" collapsed="false">
      <c r="A310" s="4" t="s">
        <v>123</v>
      </c>
      <c r="B310" s="31" t="n">
        <v>1004470</v>
      </c>
      <c r="C310" s="4" t="s">
        <v>704</v>
      </c>
      <c r="D310" s="4" t="s">
        <v>643</v>
      </c>
      <c r="E310" s="4" t="s">
        <v>705</v>
      </c>
      <c r="F310" s="32" t="n">
        <v>1</v>
      </c>
      <c r="G310" s="34" t="n">
        <v>33561.97</v>
      </c>
      <c r="H310" s="4" t="s">
        <v>702</v>
      </c>
    </row>
    <row r="311" customFormat="false" ht="15" hidden="false" customHeight="false" outlineLevel="0" collapsed="false">
      <c r="A311" s="4" t="s">
        <v>123</v>
      </c>
      <c r="B311" s="31" t="n">
        <v>1002317</v>
      </c>
      <c r="C311" s="4" t="s">
        <v>706</v>
      </c>
      <c r="D311" s="4" t="s">
        <v>402</v>
      </c>
      <c r="E311" s="4" t="s">
        <v>707</v>
      </c>
      <c r="F311" s="32" t="n">
        <v>1</v>
      </c>
      <c r="G311" s="34" t="n">
        <v>34340.708</v>
      </c>
      <c r="H311" s="4" t="s">
        <v>702</v>
      </c>
    </row>
    <row r="312" customFormat="false" ht="15" hidden="false" customHeight="false" outlineLevel="0" collapsed="false">
      <c r="A312" s="4" t="s">
        <v>123</v>
      </c>
      <c r="B312" s="31" t="n">
        <v>1013247</v>
      </c>
      <c r="C312" s="4" t="s">
        <v>708</v>
      </c>
      <c r="D312" s="4" t="s">
        <v>311</v>
      </c>
      <c r="E312" s="4" t="s">
        <v>707</v>
      </c>
      <c r="F312" s="32" t="n">
        <v>1</v>
      </c>
      <c r="G312" s="34" t="n">
        <v>36165.942</v>
      </c>
      <c r="H312" s="4" t="s">
        <v>702</v>
      </c>
    </row>
    <row r="313" customFormat="false" ht="15" hidden="false" customHeight="false" outlineLevel="0" collapsed="false">
      <c r="A313" s="4" t="s">
        <v>123</v>
      </c>
      <c r="B313" s="31" t="n">
        <v>1005197</v>
      </c>
      <c r="C313" s="4" t="s">
        <v>709</v>
      </c>
      <c r="D313" s="4" t="s">
        <v>375</v>
      </c>
      <c r="E313" s="4" t="s">
        <v>710</v>
      </c>
      <c r="F313" s="32" t="n">
        <v>1</v>
      </c>
      <c r="G313" s="34" t="n">
        <v>14580.538</v>
      </c>
      <c r="H313" s="4" t="s">
        <v>702</v>
      </c>
    </row>
    <row r="314" customFormat="false" ht="15" hidden="false" customHeight="false" outlineLevel="0" collapsed="false">
      <c r="A314" s="4" t="s">
        <v>123</v>
      </c>
      <c r="B314" s="31" t="n">
        <v>1002575</v>
      </c>
      <c r="C314" s="4" t="s">
        <v>711</v>
      </c>
      <c r="D314" s="4" t="s">
        <v>375</v>
      </c>
      <c r="E314" s="4" t="s">
        <v>127</v>
      </c>
      <c r="F314" s="32" t="n">
        <v>1</v>
      </c>
      <c r="G314" s="34" t="n">
        <v>52137.468</v>
      </c>
      <c r="H314" s="4" t="s">
        <v>702</v>
      </c>
    </row>
    <row r="315" customFormat="false" ht="15" hidden="false" customHeight="false" outlineLevel="0" collapsed="false">
      <c r="A315" s="4" t="s">
        <v>123</v>
      </c>
      <c r="B315" s="31" t="n">
        <v>1003985</v>
      </c>
      <c r="C315" s="4" t="s">
        <v>712</v>
      </c>
      <c r="D315" s="4" t="s">
        <v>375</v>
      </c>
      <c r="E315" s="4" t="s">
        <v>127</v>
      </c>
      <c r="F315" s="32" t="n">
        <v>1</v>
      </c>
      <c r="G315" s="33"/>
      <c r="H315" s="4" t="s">
        <v>702</v>
      </c>
    </row>
    <row r="316" customFormat="false" ht="15" hidden="false" customHeight="false" outlineLevel="0" collapsed="false">
      <c r="A316" s="4" t="s">
        <v>131</v>
      </c>
      <c r="B316" s="31" t="n">
        <v>1002458</v>
      </c>
      <c r="C316" s="4" t="s">
        <v>713</v>
      </c>
      <c r="D316" s="4" t="s">
        <v>714</v>
      </c>
      <c r="E316" s="4" t="s">
        <v>135</v>
      </c>
      <c r="F316" s="32" t="n">
        <v>1</v>
      </c>
      <c r="G316" s="34" t="n">
        <v>45075.88</v>
      </c>
      <c r="H316" s="4" t="s">
        <v>715</v>
      </c>
    </row>
    <row r="317" customFormat="false" ht="15" hidden="false" customHeight="false" outlineLevel="0" collapsed="false">
      <c r="A317" s="4" t="s">
        <v>131</v>
      </c>
      <c r="B317" s="31" t="n">
        <v>1001732</v>
      </c>
      <c r="C317" s="4" t="s">
        <v>716</v>
      </c>
      <c r="D317" s="4" t="s">
        <v>375</v>
      </c>
      <c r="E317" s="4" t="s">
        <v>135</v>
      </c>
      <c r="F317" s="32" t="n">
        <v>1</v>
      </c>
      <c r="G317" s="33"/>
      <c r="H317" s="4" t="s">
        <v>715</v>
      </c>
    </row>
    <row r="318" customFormat="false" ht="15" hidden="false" customHeight="false" outlineLevel="0" collapsed="false">
      <c r="A318" s="4" t="s">
        <v>131</v>
      </c>
      <c r="B318" s="31" t="n">
        <v>1001902</v>
      </c>
      <c r="C318" s="4" t="s">
        <v>717</v>
      </c>
      <c r="D318" s="4" t="s">
        <v>714</v>
      </c>
      <c r="E318" s="4" t="s">
        <v>127</v>
      </c>
      <c r="F318" s="32" t="n">
        <v>1</v>
      </c>
      <c r="G318" s="33"/>
      <c r="H318" s="4" t="s">
        <v>715</v>
      </c>
    </row>
    <row r="319" customFormat="false" ht="15" hidden="false" customHeight="false" outlineLevel="0" collapsed="false">
      <c r="A319" s="4" t="s">
        <v>138</v>
      </c>
      <c r="B319" s="31" t="n">
        <v>1012974</v>
      </c>
      <c r="C319" s="4" t="s">
        <v>718</v>
      </c>
      <c r="D319" s="4" t="s">
        <v>719</v>
      </c>
      <c r="E319" s="4" t="s">
        <v>720</v>
      </c>
      <c r="F319" s="32" t="n">
        <v>1</v>
      </c>
      <c r="G319" s="33"/>
      <c r="H319" s="4" t="s">
        <v>721</v>
      </c>
    </row>
    <row r="320" customFormat="false" ht="15" hidden="false" customHeight="false" outlineLevel="0" collapsed="false">
      <c r="A320" s="4" t="s">
        <v>138</v>
      </c>
      <c r="B320" s="31" t="n">
        <v>1003226</v>
      </c>
      <c r="C320" s="4" t="s">
        <v>722</v>
      </c>
      <c r="D320" s="4" t="s">
        <v>610</v>
      </c>
      <c r="E320" s="4" t="s">
        <v>143</v>
      </c>
      <c r="F320" s="32" t="n">
        <v>1</v>
      </c>
      <c r="G320" s="33"/>
      <c r="H320" s="4" t="s">
        <v>723</v>
      </c>
    </row>
    <row r="321" customFormat="false" ht="15" hidden="false" customHeight="false" outlineLevel="0" collapsed="false">
      <c r="A321" s="4" t="s">
        <v>138</v>
      </c>
      <c r="B321" s="31" t="n">
        <v>1006752</v>
      </c>
      <c r="C321" s="4" t="s">
        <v>724</v>
      </c>
      <c r="D321" s="4" t="s">
        <v>375</v>
      </c>
      <c r="E321" s="4" t="s">
        <v>720</v>
      </c>
      <c r="F321" s="32" t="n">
        <v>1</v>
      </c>
      <c r="G321" s="34" t="n">
        <v>51797.104</v>
      </c>
      <c r="H321" s="4" t="s">
        <v>721</v>
      </c>
    </row>
    <row r="322" customFormat="false" ht="15" hidden="false" customHeight="false" outlineLevel="0" collapsed="false">
      <c r="A322" s="4" t="s">
        <v>138</v>
      </c>
      <c r="B322" s="31" t="n">
        <v>1002752</v>
      </c>
      <c r="C322" s="4" t="s">
        <v>725</v>
      </c>
      <c r="D322" s="4" t="s">
        <v>667</v>
      </c>
      <c r="E322" s="4" t="s">
        <v>726</v>
      </c>
      <c r="F322" s="32" t="n">
        <v>1</v>
      </c>
      <c r="G322" s="33"/>
      <c r="H322" s="4" t="s">
        <v>723</v>
      </c>
    </row>
    <row r="323" customFormat="false" ht="15" hidden="false" customHeight="false" outlineLevel="0" collapsed="false">
      <c r="A323" s="4" t="s">
        <v>138</v>
      </c>
      <c r="B323" s="31" t="n">
        <v>1005668</v>
      </c>
      <c r="C323" s="4" t="s">
        <v>727</v>
      </c>
      <c r="D323" s="4" t="s">
        <v>719</v>
      </c>
      <c r="E323" s="4" t="s">
        <v>720</v>
      </c>
      <c r="F323" s="32" t="n">
        <v>1</v>
      </c>
      <c r="G323" s="34" t="n">
        <v>72646.276</v>
      </c>
      <c r="H323" s="4" t="s">
        <v>721</v>
      </c>
    </row>
    <row r="324" customFormat="false" ht="15" hidden="false" customHeight="false" outlineLevel="0" collapsed="false">
      <c r="A324" s="4" t="s">
        <v>138</v>
      </c>
      <c r="B324" s="31" t="n">
        <v>1003264</v>
      </c>
      <c r="C324" s="4" t="s">
        <v>728</v>
      </c>
      <c r="D324" s="4" t="s">
        <v>667</v>
      </c>
      <c r="E324" s="4" t="s">
        <v>729</v>
      </c>
      <c r="F324" s="32" t="n">
        <v>1</v>
      </c>
      <c r="G324" s="33"/>
      <c r="H324" s="4" t="s">
        <v>721</v>
      </c>
    </row>
    <row r="325" customFormat="false" ht="15" hidden="false" customHeight="false" outlineLevel="0" collapsed="false">
      <c r="A325" s="4" t="s">
        <v>138</v>
      </c>
      <c r="B325" s="31" t="n">
        <v>1002755</v>
      </c>
      <c r="C325" s="4" t="s">
        <v>730</v>
      </c>
      <c r="D325" s="4" t="s">
        <v>719</v>
      </c>
      <c r="E325" s="4" t="s">
        <v>720</v>
      </c>
      <c r="F325" s="32" t="n">
        <v>1</v>
      </c>
      <c r="G325" s="34" t="n">
        <v>53033.448</v>
      </c>
      <c r="H325" s="4" t="s">
        <v>721</v>
      </c>
    </row>
    <row r="326" customFormat="false" ht="15" hidden="false" customHeight="false" outlineLevel="0" collapsed="false">
      <c r="A326" s="4" t="s">
        <v>138</v>
      </c>
      <c r="B326" s="31" t="n">
        <v>1003262</v>
      </c>
      <c r="C326" s="4" t="s">
        <v>731</v>
      </c>
      <c r="D326" s="4" t="s">
        <v>719</v>
      </c>
      <c r="E326" s="4" t="s">
        <v>729</v>
      </c>
      <c r="F326" s="32" t="n">
        <v>1</v>
      </c>
      <c r="G326" s="34" t="n">
        <v>27742.296</v>
      </c>
      <c r="H326" s="4" t="s">
        <v>721</v>
      </c>
    </row>
    <row r="327" customFormat="false" ht="15" hidden="false" customHeight="false" outlineLevel="0" collapsed="false">
      <c r="A327" s="4" t="s">
        <v>138</v>
      </c>
      <c r="B327" s="31" t="n">
        <v>1000104</v>
      </c>
      <c r="C327" s="4" t="s">
        <v>732</v>
      </c>
      <c r="D327" s="4" t="s">
        <v>667</v>
      </c>
      <c r="E327" s="4" t="s">
        <v>720</v>
      </c>
      <c r="F327" s="32" t="n">
        <v>1</v>
      </c>
      <c r="G327" s="34" t="n">
        <v>28540.292</v>
      </c>
      <c r="H327" s="4" t="s">
        <v>721</v>
      </c>
    </row>
    <row r="328" customFormat="false" ht="15" hidden="false" customHeight="false" outlineLevel="0" collapsed="false">
      <c r="A328" s="4" t="s">
        <v>138</v>
      </c>
      <c r="B328" s="31" t="n">
        <v>1004951</v>
      </c>
      <c r="C328" s="4" t="s">
        <v>733</v>
      </c>
      <c r="D328" s="4" t="s">
        <v>665</v>
      </c>
      <c r="E328" s="4" t="s">
        <v>720</v>
      </c>
      <c r="F328" s="32" t="n">
        <v>1</v>
      </c>
      <c r="G328" s="34" t="n">
        <v>40580.548</v>
      </c>
      <c r="H328" s="4" t="s">
        <v>721</v>
      </c>
    </row>
    <row r="329" customFormat="false" ht="15" hidden="false" customHeight="false" outlineLevel="0" collapsed="false">
      <c r="A329" s="4" t="s">
        <v>138</v>
      </c>
      <c r="B329" s="31" t="n">
        <v>1005024</v>
      </c>
      <c r="C329" s="4" t="s">
        <v>734</v>
      </c>
      <c r="D329" s="4" t="s">
        <v>662</v>
      </c>
      <c r="E329" s="4" t="s">
        <v>720</v>
      </c>
      <c r="F329" s="32" t="n">
        <v>1</v>
      </c>
      <c r="G329" s="34" t="n">
        <v>75073.968</v>
      </c>
      <c r="H329" s="4" t="s">
        <v>721</v>
      </c>
    </row>
    <row r="330" customFormat="false" ht="15" hidden="false" customHeight="false" outlineLevel="0" collapsed="false">
      <c r="A330" s="4" t="s">
        <v>138</v>
      </c>
      <c r="B330" s="31" t="n">
        <v>1002753</v>
      </c>
      <c r="C330" s="4" t="s">
        <v>735</v>
      </c>
      <c r="D330" s="4" t="s">
        <v>719</v>
      </c>
      <c r="E330" s="4" t="s">
        <v>729</v>
      </c>
      <c r="F330" s="32" t="n">
        <v>1</v>
      </c>
      <c r="G330" s="33"/>
      <c r="H330" s="4" t="s">
        <v>721</v>
      </c>
    </row>
    <row r="331" customFormat="false" ht="15" hidden="false" customHeight="false" outlineLevel="0" collapsed="false">
      <c r="A331" s="4" t="s">
        <v>138</v>
      </c>
      <c r="B331" s="31" t="n">
        <v>1006754</v>
      </c>
      <c r="C331" s="4" t="s">
        <v>736</v>
      </c>
      <c r="D331" s="4" t="s">
        <v>719</v>
      </c>
      <c r="E331" s="4" t="s">
        <v>737</v>
      </c>
      <c r="F331" s="32" t="n">
        <v>1</v>
      </c>
      <c r="G331" s="34" t="n">
        <v>21610.768</v>
      </c>
      <c r="H331" s="4" t="s">
        <v>721</v>
      </c>
    </row>
    <row r="332" customFormat="false" ht="15" hidden="false" customHeight="false" outlineLevel="0" collapsed="false">
      <c r="A332" s="4" t="s">
        <v>138</v>
      </c>
      <c r="B332" s="31" t="n">
        <v>1001722</v>
      </c>
      <c r="C332" s="4" t="s">
        <v>738</v>
      </c>
      <c r="D332" s="4" t="s">
        <v>719</v>
      </c>
      <c r="E332" s="4" t="s">
        <v>720</v>
      </c>
      <c r="F332" s="32" t="n">
        <v>1</v>
      </c>
      <c r="G332" s="34" t="n">
        <v>47885.12</v>
      </c>
      <c r="H332" s="4" t="s">
        <v>721</v>
      </c>
    </row>
    <row r="333" customFormat="false" ht="15" hidden="false" customHeight="false" outlineLevel="0" collapsed="false">
      <c r="A333" s="4" t="s">
        <v>138</v>
      </c>
      <c r="B333" s="31" t="n">
        <v>1002626</v>
      </c>
      <c r="C333" s="4" t="s">
        <v>739</v>
      </c>
      <c r="D333" s="4" t="s">
        <v>665</v>
      </c>
      <c r="E333" s="4" t="s">
        <v>720</v>
      </c>
      <c r="F333" s="32" t="n">
        <v>1</v>
      </c>
      <c r="G333" s="34" t="n">
        <v>78715.304</v>
      </c>
      <c r="H333" s="4" t="s">
        <v>721</v>
      </c>
    </row>
    <row r="334" customFormat="false" ht="15" hidden="false" customHeight="false" outlineLevel="0" collapsed="false">
      <c r="A334" s="4" t="s">
        <v>147</v>
      </c>
      <c r="B334" s="31" t="n">
        <v>1006371</v>
      </c>
      <c r="C334" s="4" t="s">
        <v>740</v>
      </c>
      <c r="D334" s="4" t="s">
        <v>311</v>
      </c>
      <c r="E334" s="4" t="s">
        <v>720</v>
      </c>
      <c r="F334" s="32" t="n">
        <v>1</v>
      </c>
      <c r="G334" s="34" t="n">
        <v>48576.068</v>
      </c>
      <c r="H334" s="4" t="s">
        <v>741</v>
      </c>
    </row>
    <row r="335" customFormat="false" ht="15" hidden="false" customHeight="false" outlineLevel="0" collapsed="false">
      <c r="A335" s="4" t="s">
        <v>147</v>
      </c>
      <c r="B335" s="31" t="n">
        <v>1003506</v>
      </c>
      <c r="C335" s="4" t="s">
        <v>742</v>
      </c>
      <c r="D335" s="4" t="s">
        <v>643</v>
      </c>
      <c r="E335" s="4" t="s">
        <v>720</v>
      </c>
      <c r="F335" s="32" t="n">
        <v>1</v>
      </c>
      <c r="G335" s="34" t="n">
        <v>59828.622</v>
      </c>
      <c r="H335" s="4" t="s">
        <v>741</v>
      </c>
    </row>
    <row r="336" customFormat="false" ht="15" hidden="false" customHeight="false" outlineLevel="0" collapsed="false">
      <c r="A336" s="4" t="s">
        <v>147</v>
      </c>
      <c r="B336" s="31" t="n">
        <v>1004221</v>
      </c>
      <c r="C336" s="4" t="s">
        <v>743</v>
      </c>
      <c r="D336" s="4" t="s">
        <v>667</v>
      </c>
      <c r="E336" s="4" t="s">
        <v>143</v>
      </c>
      <c r="F336" s="32" t="n">
        <v>1</v>
      </c>
      <c r="G336" s="33"/>
      <c r="H336" s="4" t="s">
        <v>741</v>
      </c>
    </row>
    <row r="337" customFormat="false" ht="15" hidden="false" customHeight="false" outlineLevel="0" collapsed="false">
      <c r="A337" s="4" t="s">
        <v>147</v>
      </c>
      <c r="B337" s="31" t="n">
        <v>1000380</v>
      </c>
      <c r="C337" s="4" t="s">
        <v>744</v>
      </c>
      <c r="D337" s="4" t="s">
        <v>719</v>
      </c>
      <c r="E337" s="4" t="s">
        <v>745</v>
      </c>
      <c r="F337" s="32" t="n">
        <v>1</v>
      </c>
      <c r="G337" s="34" t="n">
        <v>40909.196</v>
      </c>
      <c r="H337" s="4" t="s">
        <v>741</v>
      </c>
    </row>
    <row r="338" customFormat="false" ht="15" hidden="false" customHeight="false" outlineLevel="0" collapsed="false">
      <c r="A338" s="4" t="s">
        <v>147</v>
      </c>
      <c r="B338" s="31" t="n">
        <v>1010554</v>
      </c>
      <c r="C338" s="4" t="s">
        <v>746</v>
      </c>
      <c r="D338" s="4" t="s">
        <v>719</v>
      </c>
      <c r="E338" s="4" t="s">
        <v>720</v>
      </c>
      <c r="F338" s="32" t="n">
        <v>1</v>
      </c>
      <c r="G338" s="34" t="n">
        <v>36200.172</v>
      </c>
      <c r="H338" s="4" t="s">
        <v>747</v>
      </c>
    </row>
    <row r="339" customFormat="false" ht="15" hidden="false" customHeight="false" outlineLevel="0" collapsed="false">
      <c r="A339" s="4" t="s">
        <v>147</v>
      </c>
      <c r="B339" s="31" t="n">
        <v>1001755</v>
      </c>
      <c r="C339" s="4" t="s">
        <v>748</v>
      </c>
      <c r="D339" s="4" t="s">
        <v>667</v>
      </c>
      <c r="E339" s="4" t="s">
        <v>749</v>
      </c>
      <c r="F339" s="32" t="n">
        <v>1</v>
      </c>
      <c r="G339" s="34" t="n">
        <v>29214.14</v>
      </c>
      <c r="H339" s="4" t="s">
        <v>741</v>
      </c>
    </row>
    <row r="340" customFormat="false" ht="15" hidden="false" customHeight="false" outlineLevel="0" collapsed="false">
      <c r="A340" s="4" t="s">
        <v>147</v>
      </c>
      <c r="B340" s="31" t="n">
        <v>1004695</v>
      </c>
      <c r="C340" s="4" t="s">
        <v>750</v>
      </c>
      <c r="D340" s="4" t="s">
        <v>719</v>
      </c>
      <c r="E340" s="4" t="s">
        <v>745</v>
      </c>
      <c r="F340" s="32" t="n">
        <v>1</v>
      </c>
      <c r="G340" s="34" t="n">
        <v>23645.76</v>
      </c>
      <c r="H340" s="4" t="s">
        <v>741</v>
      </c>
    </row>
    <row r="341" customFormat="false" ht="15" hidden="false" customHeight="false" outlineLevel="0" collapsed="false">
      <c r="A341" s="4" t="s">
        <v>147</v>
      </c>
      <c r="B341" s="31" t="n">
        <v>1004605</v>
      </c>
      <c r="C341" s="4" t="s">
        <v>751</v>
      </c>
      <c r="D341" s="4" t="s">
        <v>719</v>
      </c>
      <c r="E341" s="4" t="s">
        <v>720</v>
      </c>
      <c r="F341" s="32" t="n">
        <v>1</v>
      </c>
      <c r="G341" s="34" t="n">
        <v>36636.612</v>
      </c>
      <c r="H341" s="4" t="s">
        <v>741</v>
      </c>
    </row>
    <row r="342" customFormat="false" ht="15" hidden="false" customHeight="false" outlineLevel="0" collapsed="false">
      <c r="A342" s="4" t="s">
        <v>147</v>
      </c>
      <c r="B342" s="31" t="n">
        <v>1003225</v>
      </c>
      <c r="C342" s="4" t="s">
        <v>752</v>
      </c>
      <c r="D342" s="4" t="s">
        <v>719</v>
      </c>
      <c r="E342" s="4" t="s">
        <v>720</v>
      </c>
      <c r="F342" s="32" t="n">
        <v>1</v>
      </c>
      <c r="G342" s="34" t="n">
        <v>33967.172</v>
      </c>
      <c r="H342" s="4" t="s">
        <v>741</v>
      </c>
    </row>
    <row r="343" customFormat="false" ht="15" hidden="false" customHeight="false" outlineLevel="0" collapsed="false">
      <c r="A343" s="4" t="s">
        <v>147</v>
      </c>
      <c r="B343" s="31" t="n">
        <v>1010579</v>
      </c>
      <c r="C343" s="4" t="s">
        <v>753</v>
      </c>
      <c r="D343" s="4" t="s">
        <v>643</v>
      </c>
      <c r="E343" s="4" t="s">
        <v>252</v>
      </c>
      <c r="F343" s="32" t="n">
        <v>1</v>
      </c>
      <c r="G343" s="33"/>
      <c r="H343" s="4" t="s">
        <v>747</v>
      </c>
    </row>
    <row r="344" customFormat="false" ht="15" hidden="false" customHeight="false" outlineLevel="0" collapsed="false">
      <c r="A344" s="4" t="s">
        <v>147</v>
      </c>
      <c r="B344" s="31" t="n">
        <v>1002953</v>
      </c>
      <c r="C344" s="4" t="s">
        <v>754</v>
      </c>
      <c r="D344" s="4" t="s">
        <v>719</v>
      </c>
      <c r="E344" s="4" t="s">
        <v>720</v>
      </c>
      <c r="F344" s="32" t="n">
        <v>1</v>
      </c>
      <c r="G344" s="34" t="n">
        <v>53571.548</v>
      </c>
      <c r="H344" s="4" t="s">
        <v>747</v>
      </c>
    </row>
    <row r="345" customFormat="false" ht="15" hidden="false" customHeight="false" outlineLevel="0" collapsed="false">
      <c r="A345" s="4" t="s">
        <v>147</v>
      </c>
      <c r="B345" s="31" t="n">
        <v>1004317</v>
      </c>
      <c r="C345" s="4" t="s">
        <v>755</v>
      </c>
      <c r="D345" s="4" t="s">
        <v>662</v>
      </c>
      <c r="E345" s="4" t="s">
        <v>720</v>
      </c>
      <c r="F345" s="32" t="n">
        <v>1</v>
      </c>
      <c r="G345" s="34" t="n">
        <v>69168.64</v>
      </c>
      <c r="H345" s="4" t="s">
        <v>741</v>
      </c>
    </row>
    <row r="346" customFormat="false" ht="15" hidden="false" customHeight="false" outlineLevel="0" collapsed="false">
      <c r="A346" s="4" t="s">
        <v>147</v>
      </c>
      <c r="B346" s="31" t="n">
        <v>1010968</v>
      </c>
      <c r="C346" s="4" t="s">
        <v>756</v>
      </c>
      <c r="D346" s="4" t="s">
        <v>641</v>
      </c>
      <c r="E346" s="4" t="s">
        <v>720</v>
      </c>
      <c r="F346" s="32" t="n">
        <v>1</v>
      </c>
      <c r="G346" s="34" t="n">
        <v>50454.76</v>
      </c>
      <c r="H346" s="4" t="s">
        <v>741</v>
      </c>
    </row>
    <row r="347" customFormat="false" ht="15" hidden="false" customHeight="false" outlineLevel="0" collapsed="false">
      <c r="A347" s="4" t="s">
        <v>147</v>
      </c>
      <c r="B347" s="31" t="n">
        <v>1012328</v>
      </c>
      <c r="C347" s="4" t="s">
        <v>757</v>
      </c>
      <c r="D347" s="4" t="s">
        <v>719</v>
      </c>
      <c r="E347" s="4" t="s">
        <v>143</v>
      </c>
      <c r="F347" s="32" t="n">
        <v>1</v>
      </c>
      <c r="G347" s="33"/>
      <c r="H347" s="4" t="s">
        <v>741</v>
      </c>
    </row>
    <row r="348" customFormat="false" ht="15" hidden="false" customHeight="false" outlineLevel="0" collapsed="false">
      <c r="A348" s="4" t="s">
        <v>147</v>
      </c>
      <c r="B348" s="31" t="n">
        <v>1010355</v>
      </c>
      <c r="C348" s="4" t="s">
        <v>758</v>
      </c>
      <c r="D348" s="4" t="s">
        <v>719</v>
      </c>
      <c r="E348" s="4" t="s">
        <v>720</v>
      </c>
      <c r="F348" s="32" t="n">
        <v>1</v>
      </c>
      <c r="G348" s="33"/>
      <c r="H348" s="4" t="s">
        <v>741</v>
      </c>
    </row>
    <row r="349" customFormat="false" ht="15" hidden="false" customHeight="false" outlineLevel="0" collapsed="false">
      <c r="A349" s="4" t="s">
        <v>147</v>
      </c>
      <c r="B349" s="31" t="n">
        <v>1002828</v>
      </c>
      <c r="C349" s="4" t="s">
        <v>759</v>
      </c>
      <c r="D349" s="4" t="s">
        <v>596</v>
      </c>
      <c r="E349" s="4" t="s">
        <v>720</v>
      </c>
      <c r="F349" s="32" t="n">
        <v>1</v>
      </c>
      <c r="G349" s="34" t="n">
        <v>35796.216</v>
      </c>
      <c r="H349" s="4" t="s">
        <v>741</v>
      </c>
    </row>
    <row r="350" customFormat="false" ht="15" hidden="false" customHeight="false" outlineLevel="0" collapsed="false">
      <c r="A350" s="4" t="s">
        <v>147</v>
      </c>
      <c r="B350" s="31" t="n">
        <v>1002875</v>
      </c>
      <c r="C350" s="4" t="s">
        <v>760</v>
      </c>
      <c r="D350" s="4" t="s">
        <v>643</v>
      </c>
      <c r="E350" s="4" t="s">
        <v>761</v>
      </c>
      <c r="F350" s="32" t="n">
        <v>1</v>
      </c>
      <c r="G350" s="34" t="n">
        <v>52719.582</v>
      </c>
      <c r="H350" s="4" t="s">
        <v>741</v>
      </c>
    </row>
    <row r="351" customFormat="false" ht="15" hidden="false" customHeight="false" outlineLevel="0" collapsed="false">
      <c r="A351" s="4" t="s">
        <v>147</v>
      </c>
      <c r="B351" s="31" t="n">
        <v>1002347</v>
      </c>
      <c r="C351" s="4" t="s">
        <v>762</v>
      </c>
      <c r="D351" s="4" t="s">
        <v>719</v>
      </c>
      <c r="E351" s="4" t="s">
        <v>749</v>
      </c>
      <c r="F351" s="32" t="n">
        <v>1</v>
      </c>
      <c r="G351" s="34" t="n">
        <v>28167.064</v>
      </c>
      <c r="H351" s="4" t="s">
        <v>741</v>
      </c>
    </row>
    <row r="352" customFormat="false" ht="15" hidden="false" customHeight="false" outlineLevel="0" collapsed="false">
      <c r="A352" s="4" t="s">
        <v>161</v>
      </c>
      <c r="B352" s="31" t="n">
        <v>1010779</v>
      </c>
      <c r="C352" s="4" t="s">
        <v>763</v>
      </c>
      <c r="D352" s="4" t="s">
        <v>346</v>
      </c>
      <c r="E352" s="4" t="s">
        <v>764</v>
      </c>
      <c r="F352" s="32" t="n">
        <v>1</v>
      </c>
      <c r="G352" s="33"/>
      <c r="H352" s="4" t="s">
        <v>765</v>
      </c>
    </row>
    <row r="353" customFormat="false" ht="15" hidden="false" customHeight="false" outlineLevel="0" collapsed="false">
      <c r="A353" s="4" t="s">
        <v>170</v>
      </c>
      <c r="B353" s="31" t="n">
        <v>1009528</v>
      </c>
      <c r="C353" s="4" t="s">
        <v>766</v>
      </c>
      <c r="D353" s="4" t="s">
        <v>460</v>
      </c>
      <c r="E353" s="4" t="s">
        <v>767</v>
      </c>
      <c r="F353" s="32" t="n">
        <v>1</v>
      </c>
      <c r="G353" s="34" t="n">
        <v>53494.148</v>
      </c>
      <c r="H353" s="4" t="s">
        <v>768</v>
      </c>
    </row>
    <row r="354" customFormat="false" ht="15" hidden="false" customHeight="false" outlineLevel="0" collapsed="false">
      <c r="A354" s="4" t="s">
        <v>170</v>
      </c>
      <c r="B354" s="31" t="n">
        <v>1002152</v>
      </c>
      <c r="C354" s="4" t="s">
        <v>769</v>
      </c>
      <c r="D354" s="4" t="s">
        <v>402</v>
      </c>
      <c r="E354" s="4" t="s">
        <v>770</v>
      </c>
      <c r="F354" s="32" t="n">
        <v>1</v>
      </c>
      <c r="G354" s="34" t="n">
        <v>276308.208</v>
      </c>
      <c r="H354" s="4" t="s">
        <v>768</v>
      </c>
    </row>
    <row r="355" customFormat="false" ht="15" hidden="false" customHeight="false" outlineLevel="0" collapsed="false">
      <c r="A355" s="4" t="s">
        <v>170</v>
      </c>
      <c r="B355" s="31" t="n">
        <v>1002036</v>
      </c>
      <c r="C355" s="4" t="s">
        <v>771</v>
      </c>
      <c r="D355" s="4" t="s">
        <v>772</v>
      </c>
      <c r="E355" s="4" t="s">
        <v>767</v>
      </c>
      <c r="F355" s="32" t="n">
        <v>1</v>
      </c>
      <c r="G355" s="34" t="n">
        <v>141081.468</v>
      </c>
      <c r="H355" s="4" t="s">
        <v>768</v>
      </c>
    </row>
    <row r="356" customFormat="false" ht="15" hidden="false" customHeight="false" outlineLevel="0" collapsed="false">
      <c r="A356" s="4" t="s">
        <v>170</v>
      </c>
      <c r="B356" s="31" t="n">
        <v>1002111</v>
      </c>
      <c r="C356" s="4" t="s">
        <v>773</v>
      </c>
      <c r="D356" s="4" t="s">
        <v>774</v>
      </c>
      <c r="E356" s="4" t="s">
        <v>770</v>
      </c>
      <c r="F356" s="32" t="n">
        <v>1</v>
      </c>
      <c r="G356" s="34" t="n">
        <v>191281.28</v>
      </c>
      <c r="H356" s="4" t="s">
        <v>768</v>
      </c>
    </row>
    <row r="357" customFormat="false" ht="15" hidden="false" customHeight="false" outlineLevel="0" collapsed="false">
      <c r="A357" s="4" t="s">
        <v>170</v>
      </c>
      <c r="B357" s="31" t="n">
        <v>1002674</v>
      </c>
      <c r="C357" s="4" t="s">
        <v>773</v>
      </c>
      <c r="D357" s="4" t="s">
        <v>662</v>
      </c>
      <c r="E357" s="4" t="s">
        <v>767</v>
      </c>
      <c r="F357" s="32" t="n">
        <v>1</v>
      </c>
      <c r="G357" s="34" t="n">
        <v>157540.756</v>
      </c>
      <c r="H357" s="4" t="s">
        <v>768</v>
      </c>
    </row>
    <row r="358" customFormat="false" ht="15" hidden="false" customHeight="false" outlineLevel="0" collapsed="false">
      <c r="A358" s="4" t="s">
        <v>170</v>
      </c>
      <c r="B358" s="31" t="n">
        <v>1013537</v>
      </c>
      <c r="C358" s="4" t="s">
        <v>775</v>
      </c>
      <c r="D358" s="4" t="s">
        <v>667</v>
      </c>
      <c r="E358" s="4" t="s">
        <v>737</v>
      </c>
      <c r="F358" s="32" t="n">
        <v>1</v>
      </c>
      <c r="G358" s="34" t="n">
        <v>22884.162</v>
      </c>
      <c r="H358" s="4" t="s">
        <v>768</v>
      </c>
    </row>
    <row r="359" customFormat="false" ht="15" hidden="false" customHeight="false" outlineLevel="0" collapsed="false">
      <c r="A359" s="4" t="s">
        <v>170</v>
      </c>
      <c r="B359" s="31" t="n">
        <v>1002497</v>
      </c>
      <c r="C359" s="4" t="s">
        <v>776</v>
      </c>
      <c r="D359" s="4" t="s">
        <v>777</v>
      </c>
      <c r="E359" s="4" t="s">
        <v>778</v>
      </c>
      <c r="F359" s="32" t="n">
        <v>1</v>
      </c>
      <c r="G359" s="34" t="n">
        <v>44354.832</v>
      </c>
      <c r="H359" s="4" t="s">
        <v>768</v>
      </c>
    </row>
    <row r="360" customFormat="false" ht="15" hidden="false" customHeight="false" outlineLevel="0" collapsed="false">
      <c r="A360" s="4" t="s">
        <v>170</v>
      </c>
      <c r="B360" s="31" t="n">
        <v>1001244</v>
      </c>
      <c r="C360" s="4" t="s">
        <v>766</v>
      </c>
      <c r="D360" s="4" t="s">
        <v>348</v>
      </c>
      <c r="E360" s="4" t="s">
        <v>770</v>
      </c>
      <c r="F360" s="32" t="n">
        <v>1</v>
      </c>
      <c r="G360" s="34" t="n">
        <v>702036.678</v>
      </c>
      <c r="H360" s="4" t="s">
        <v>768</v>
      </c>
    </row>
    <row r="361" customFormat="false" ht="15" hidden="false" customHeight="false" outlineLevel="0" collapsed="false">
      <c r="A361" s="4" t="s">
        <v>170</v>
      </c>
      <c r="B361" s="31" t="n">
        <v>1000186</v>
      </c>
      <c r="C361" s="4" t="s">
        <v>779</v>
      </c>
      <c r="D361" s="4" t="s">
        <v>667</v>
      </c>
      <c r="E361" s="4" t="s">
        <v>780</v>
      </c>
      <c r="F361" s="32" t="n">
        <v>0.813</v>
      </c>
      <c r="G361" s="34" t="n">
        <v>83142.288</v>
      </c>
      <c r="H361" s="4" t="s">
        <v>781</v>
      </c>
    </row>
    <row r="362" customFormat="false" ht="15" hidden="false" customHeight="false" outlineLevel="0" collapsed="false">
      <c r="A362" s="4" t="s">
        <v>170</v>
      </c>
      <c r="B362" s="31" t="n">
        <v>1011541</v>
      </c>
      <c r="C362" s="4" t="s">
        <v>782</v>
      </c>
      <c r="D362" s="4" t="s">
        <v>322</v>
      </c>
      <c r="E362" s="4" t="s">
        <v>780</v>
      </c>
      <c r="F362" s="32" t="n">
        <v>1</v>
      </c>
      <c r="G362" s="34" t="n">
        <v>20094.024</v>
      </c>
      <c r="H362" s="4" t="s">
        <v>768</v>
      </c>
    </row>
    <row r="363" customFormat="false" ht="15" hidden="false" customHeight="false" outlineLevel="0" collapsed="false">
      <c r="A363" s="4" t="s">
        <v>185</v>
      </c>
      <c r="B363" s="31" t="n">
        <v>1004469</v>
      </c>
      <c r="C363" s="4" t="s">
        <v>783</v>
      </c>
      <c r="D363" s="4" t="s">
        <v>784</v>
      </c>
      <c r="E363" s="4" t="s">
        <v>190</v>
      </c>
      <c r="F363" s="32" t="n">
        <v>1</v>
      </c>
      <c r="G363" s="34" t="n">
        <v>47574.076</v>
      </c>
      <c r="H363" s="4" t="s">
        <v>785</v>
      </c>
    </row>
    <row r="364" customFormat="false" ht="15" hidden="false" customHeight="false" outlineLevel="0" collapsed="false">
      <c r="A364" s="4" t="s">
        <v>202</v>
      </c>
      <c r="B364" s="31" t="n">
        <v>1005447</v>
      </c>
      <c r="C364" s="4" t="s">
        <v>786</v>
      </c>
      <c r="D364" s="4" t="s">
        <v>643</v>
      </c>
      <c r="E364" s="4" t="s">
        <v>787</v>
      </c>
      <c r="F364" s="32" t="n">
        <v>1</v>
      </c>
      <c r="G364" s="33"/>
      <c r="H364" s="4" t="s">
        <v>788</v>
      </c>
    </row>
    <row r="365" customFormat="false" ht="15" hidden="false" customHeight="false" outlineLevel="0" collapsed="false">
      <c r="A365" s="4" t="s">
        <v>202</v>
      </c>
      <c r="B365" s="31" t="n">
        <v>1013538</v>
      </c>
      <c r="C365" s="4" t="s">
        <v>789</v>
      </c>
      <c r="D365" s="4" t="s">
        <v>719</v>
      </c>
      <c r="E365" s="4" t="s">
        <v>790</v>
      </c>
      <c r="F365" s="32" t="n">
        <v>1</v>
      </c>
      <c r="G365" s="34" t="n">
        <v>23910.36</v>
      </c>
      <c r="H365" s="4" t="s">
        <v>788</v>
      </c>
    </row>
    <row r="366" customFormat="false" ht="15" hidden="false" customHeight="false" outlineLevel="0" collapsed="false">
      <c r="A366" s="4" t="s">
        <v>202</v>
      </c>
      <c r="B366" s="31" t="n">
        <v>1001972</v>
      </c>
      <c r="C366" s="4" t="s">
        <v>791</v>
      </c>
      <c r="D366" s="4" t="s">
        <v>367</v>
      </c>
      <c r="E366" s="4" t="s">
        <v>308</v>
      </c>
      <c r="F366" s="32" t="n">
        <v>0.00011403</v>
      </c>
      <c r="G366" s="33"/>
      <c r="H366" s="4" t="s">
        <v>792</v>
      </c>
    </row>
    <row r="367" customFormat="false" ht="15" hidden="false" customHeight="false" outlineLevel="0" collapsed="false">
      <c r="A367" s="4" t="s">
        <v>202</v>
      </c>
      <c r="B367" s="31" t="n">
        <v>1010137</v>
      </c>
      <c r="C367" s="4" t="s">
        <v>793</v>
      </c>
      <c r="D367" s="4" t="s">
        <v>774</v>
      </c>
      <c r="E367" s="4" t="s">
        <v>794</v>
      </c>
      <c r="F367" s="32" t="n">
        <v>1</v>
      </c>
      <c r="G367" s="33"/>
      <c r="H367" s="4" t="s">
        <v>795</v>
      </c>
    </row>
    <row r="368" customFormat="false" ht="15" hidden="false" customHeight="false" outlineLevel="0" collapsed="false">
      <c r="A368" s="4" t="s">
        <v>202</v>
      </c>
      <c r="B368" s="31" t="n">
        <v>1003227</v>
      </c>
      <c r="C368" s="4" t="s">
        <v>796</v>
      </c>
      <c r="D368" s="4" t="s">
        <v>641</v>
      </c>
      <c r="E368" s="4" t="s">
        <v>797</v>
      </c>
      <c r="F368" s="32" t="n">
        <v>1</v>
      </c>
      <c r="G368" s="34" t="n">
        <v>31913.45</v>
      </c>
      <c r="H368" s="4" t="s">
        <v>798</v>
      </c>
    </row>
    <row r="369" customFormat="false" ht="15" hidden="false" customHeight="false" outlineLevel="0" collapsed="false">
      <c r="A369" s="4" t="s">
        <v>202</v>
      </c>
      <c r="B369" s="31" t="n">
        <v>1003248</v>
      </c>
      <c r="C369" s="4" t="s">
        <v>799</v>
      </c>
      <c r="D369" s="4" t="s">
        <v>774</v>
      </c>
      <c r="E369" s="4" t="s">
        <v>800</v>
      </c>
      <c r="F369" s="32" t="n">
        <v>1</v>
      </c>
      <c r="G369" s="34" t="n">
        <v>38703.172</v>
      </c>
      <c r="H369" s="4" t="s">
        <v>801</v>
      </c>
    </row>
    <row r="370" customFormat="false" ht="15" hidden="false" customHeight="false" outlineLevel="0" collapsed="false">
      <c r="A370" s="4" t="s">
        <v>202</v>
      </c>
      <c r="B370" s="31" t="n">
        <v>1002422</v>
      </c>
      <c r="C370" s="4" t="s">
        <v>802</v>
      </c>
      <c r="D370" s="4" t="s">
        <v>311</v>
      </c>
      <c r="E370" s="4" t="s">
        <v>331</v>
      </c>
      <c r="F370" s="32" t="n">
        <v>0.15</v>
      </c>
      <c r="G370" s="34" t="n">
        <v>70709.426</v>
      </c>
      <c r="H370" s="4" t="s">
        <v>803</v>
      </c>
    </row>
    <row r="371" customFormat="false" ht="15" hidden="false" customHeight="false" outlineLevel="0" collapsed="false">
      <c r="A371" s="4" t="s">
        <v>208</v>
      </c>
      <c r="B371" s="31" t="n">
        <v>1010562</v>
      </c>
      <c r="C371" s="4" t="s">
        <v>804</v>
      </c>
      <c r="D371" s="4" t="s">
        <v>691</v>
      </c>
      <c r="E371" s="4" t="s">
        <v>805</v>
      </c>
      <c r="F371" s="32" t="n">
        <v>1</v>
      </c>
      <c r="G371" s="33"/>
      <c r="H371" s="4" t="s">
        <v>806</v>
      </c>
    </row>
    <row r="372" customFormat="false" ht="15" hidden="false" customHeight="false" outlineLevel="0" collapsed="false">
      <c r="A372" s="4" t="s">
        <v>223</v>
      </c>
      <c r="B372" s="31" t="n">
        <v>1003494</v>
      </c>
      <c r="C372" s="4" t="s">
        <v>807</v>
      </c>
      <c r="D372" s="4" t="s">
        <v>669</v>
      </c>
      <c r="E372" s="4" t="s">
        <v>808</v>
      </c>
      <c r="F372" s="32" t="n">
        <v>0.3</v>
      </c>
      <c r="G372" s="34" t="n">
        <v>52140.304</v>
      </c>
      <c r="H372" s="4" t="s">
        <v>809</v>
      </c>
    </row>
    <row r="373" customFormat="false" ht="15" hidden="false" customHeight="false" outlineLevel="0" collapsed="false">
      <c r="A373" s="4" t="s">
        <v>232</v>
      </c>
      <c r="B373" s="31" t="n">
        <v>1007008</v>
      </c>
      <c r="C373" s="4" t="s">
        <v>810</v>
      </c>
      <c r="D373" s="4" t="s">
        <v>348</v>
      </c>
      <c r="E373" s="4" t="s">
        <v>70</v>
      </c>
      <c r="F373" s="32" t="n">
        <v>1</v>
      </c>
      <c r="G373" s="34" t="n">
        <v>625205.838</v>
      </c>
      <c r="H373" s="4" t="s">
        <v>811</v>
      </c>
    </row>
    <row r="374" customFormat="false" ht="15" hidden="false" customHeight="false" outlineLevel="0" collapsed="false">
      <c r="A374" s="4" t="s">
        <v>232</v>
      </c>
      <c r="B374" s="31" t="n">
        <v>1001762</v>
      </c>
      <c r="C374" s="4" t="s">
        <v>812</v>
      </c>
      <c r="D374" s="4" t="s">
        <v>774</v>
      </c>
      <c r="E374" s="4" t="s">
        <v>770</v>
      </c>
      <c r="F374" s="32" t="n">
        <v>1</v>
      </c>
      <c r="G374" s="34" t="n">
        <v>287870.944</v>
      </c>
      <c r="H374" s="4" t="s">
        <v>813</v>
      </c>
    </row>
    <row r="375" customFormat="false" ht="15" hidden="false" customHeight="false" outlineLevel="0" collapsed="false">
      <c r="A375" s="4" t="s">
        <v>232</v>
      </c>
      <c r="B375" s="31" t="n">
        <v>1010469</v>
      </c>
      <c r="C375" s="4" t="s">
        <v>814</v>
      </c>
      <c r="D375" s="4" t="s">
        <v>348</v>
      </c>
      <c r="E375" s="4" t="s">
        <v>70</v>
      </c>
      <c r="F375" s="32" t="n">
        <v>1</v>
      </c>
      <c r="G375" s="34" t="n">
        <v>10146173</v>
      </c>
      <c r="H375" s="4" t="s">
        <v>811</v>
      </c>
    </row>
    <row r="376" customFormat="false" ht="15" hidden="false" customHeight="false" outlineLevel="0" collapsed="false">
      <c r="A376" s="4" t="s">
        <v>263</v>
      </c>
      <c r="B376" s="31" t="n">
        <v>1011082</v>
      </c>
      <c r="C376" s="4" t="s">
        <v>815</v>
      </c>
      <c r="D376" s="4" t="s">
        <v>402</v>
      </c>
      <c r="E376" s="4" t="s">
        <v>816</v>
      </c>
      <c r="F376" s="32" t="n">
        <v>0.281</v>
      </c>
      <c r="G376" s="34" t="n">
        <v>56418.04</v>
      </c>
      <c r="H376" s="4" t="s">
        <v>817</v>
      </c>
    </row>
    <row r="377" customFormat="false" ht="15" hidden="false" customHeight="false" outlineLevel="0" collapsed="false">
      <c r="A377" s="4" t="s">
        <v>268</v>
      </c>
      <c r="B377" s="31" t="n">
        <v>1007870</v>
      </c>
      <c r="C377" s="4" t="s">
        <v>818</v>
      </c>
      <c r="D377" s="4" t="s">
        <v>675</v>
      </c>
      <c r="E377" s="4" t="s">
        <v>819</v>
      </c>
      <c r="F377" s="32" t="n">
        <v>0.99</v>
      </c>
      <c r="G377" s="34" t="n">
        <v>219040.326</v>
      </c>
      <c r="H377" s="4" t="s">
        <v>820</v>
      </c>
    </row>
    <row r="378" customFormat="false" ht="15" hidden="false" customHeight="false" outlineLevel="0" collapsed="false">
      <c r="A378" s="4" t="s">
        <v>276</v>
      </c>
      <c r="B378" s="31" t="n">
        <v>1000908</v>
      </c>
      <c r="C378" s="4" t="s">
        <v>821</v>
      </c>
      <c r="D378" s="4" t="s">
        <v>669</v>
      </c>
      <c r="E378" s="4" t="s">
        <v>281</v>
      </c>
      <c r="F378" s="32" t="n">
        <v>1</v>
      </c>
      <c r="G378" s="34" t="n">
        <v>2338386.872</v>
      </c>
      <c r="H378" s="4" t="s">
        <v>822</v>
      </c>
    </row>
    <row r="379" customFormat="false" ht="15" hidden="false" customHeight="false" outlineLevel="0" collapsed="false">
      <c r="A379" s="4" t="s">
        <v>276</v>
      </c>
      <c r="B379" s="31" t="n">
        <v>1000906</v>
      </c>
      <c r="C379" s="4" t="s">
        <v>823</v>
      </c>
      <c r="D379" s="4" t="s">
        <v>669</v>
      </c>
      <c r="E379" s="4" t="s">
        <v>281</v>
      </c>
      <c r="F379" s="32" t="n">
        <v>1</v>
      </c>
      <c r="G379" s="34" t="n">
        <v>16494.894</v>
      </c>
      <c r="H379" s="4" t="s">
        <v>822</v>
      </c>
    </row>
    <row r="380" customFormat="false" ht="15" hidden="false" customHeight="false" outlineLevel="0" collapsed="false">
      <c r="A380" s="4" t="s">
        <v>276</v>
      </c>
      <c r="B380" s="31" t="n">
        <v>1000107</v>
      </c>
      <c r="C380" s="4" t="s">
        <v>824</v>
      </c>
      <c r="D380" s="4" t="s">
        <v>675</v>
      </c>
      <c r="E380" s="4" t="s">
        <v>281</v>
      </c>
      <c r="F380" s="32" t="n">
        <v>1</v>
      </c>
      <c r="G380" s="34" t="n">
        <v>847667.108</v>
      </c>
      <c r="H380" s="4" t="s">
        <v>822</v>
      </c>
    </row>
    <row r="381" customFormat="false" ht="15" hidden="false" customHeight="false" outlineLevel="0" collapsed="false">
      <c r="A381" s="4" t="s">
        <v>276</v>
      </c>
      <c r="B381" s="31" t="n">
        <v>1001049</v>
      </c>
      <c r="C381" s="4" t="s">
        <v>825</v>
      </c>
      <c r="D381" s="4" t="s">
        <v>677</v>
      </c>
      <c r="E381" s="4" t="s">
        <v>281</v>
      </c>
      <c r="F381" s="32" t="n">
        <v>1</v>
      </c>
      <c r="G381" s="34" t="n">
        <v>1369520.38</v>
      </c>
      <c r="H381" s="4" t="s">
        <v>822</v>
      </c>
    </row>
    <row r="382" customFormat="false" ht="15" hidden="false" customHeight="false" outlineLevel="0" collapsed="false">
      <c r="A382" s="4" t="s">
        <v>276</v>
      </c>
      <c r="B382" s="31" t="n">
        <v>1001188</v>
      </c>
      <c r="C382" s="4" t="s">
        <v>826</v>
      </c>
      <c r="D382" s="4" t="s">
        <v>675</v>
      </c>
      <c r="E382" s="4" t="s">
        <v>281</v>
      </c>
      <c r="F382" s="32" t="n">
        <v>1</v>
      </c>
      <c r="G382" s="34" t="n">
        <v>211060.202</v>
      </c>
      <c r="H382" s="4" t="s">
        <v>822</v>
      </c>
    </row>
    <row r="383" customFormat="false" ht="15" hidden="false" customHeight="false" outlineLevel="0" collapsed="false">
      <c r="A383" s="4" t="s">
        <v>276</v>
      </c>
      <c r="B383" s="31" t="n">
        <v>1000833</v>
      </c>
      <c r="C383" s="4" t="s">
        <v>827</v>
      </c>
      <c r="D383" s="4" t="s">
        <v>677</v>
      </c>
      <c r="E383" s="4" t="s">
        <v>281</v>
      </c>
      <c r="F383" s="32" t="n">
        <v>1</v>
      </c>
      <c r="G383" s="34" t="n">
        <v>1470088.604</v>
      </c>
      <c r="H383" s="4" t="s">
        <v>822</v>
      </c>
    </row>
    <row r="384" customFormat="false" ht="15" hidden="false" customHeight="false" outlineLevel="0" collapsed="false">
      <c r="A384" s="4" t="s">
        <v>276</v>
      </c>
      <c r="B384" s="31" t="n">
        <v>1000829</v>
      </c>
      <c r="C384" s="4" t="s">
        <v>828</v>
      </c>
      <c r="D384" s="4" t="s">
        <v>677</v>
      </c>
      <c r="E384" s="4" t="s">
        <v>281</v>
      </c>
      <c r="F384" s="32" t="n">
        <v>1</v>
      </c>
      <c r="G384" s="33"/>
      <c r="H384" s="4" t="s">
        <v>822</v>
      </c>
    </row>
    <row r="385" customFormat="false" ht="15" hidden="false" customHeight="false" outlineLevel="0" collapsed="false">
      <c r="A385" s="4" t="s">
        <v>276</v>
      </c>
      <c r="B385" s="31" t="n">
        <v>1009540</v>
      </c>
      <c r="C385" s="4" t="s">
        <v>829</v>
      </c>
      <c r="D385" s="4" t="s">
        <v>667</v>
      </c>
      <c r="E385" s="4" t="s">
        <v>830</v>
      </c>
      <c r="F385" s="32" t="n">
        <v>1</v>
      </c>
      <c r="G385" s="34" t="n">
        <v>8368.7628</v>
      </c>
      <c r="H385" s="4" t="s">
        <v>822</v>
      </c>
    </row>
    <row r="386" customFormat="false" ht="15" hidden="false" customHeight="false" outlineLevel="0" collapsed="false">
      <c r="A386" s="4" t="s">
        <v>276</v>
      </c>
      <c r="B386" s="31" t="n">
        <v>1001371</v>
      </c>
      <c r="C386" s="4" t="s">
        <v>831</v>
      </c>
      <c r="D386" s="4" t="s">
        <v>643</v>
      </c>
      <c r="E386" s="4" t="s">
        <v>281</v>
      </c>
      <c r="F386" s="32" t="n">
        <v>1</v>
      </c>
      <c r="G386" s="34" t="n">
        <v>64437.212</v>
      </c>
      <c r="H386" s="4" t="s">
        <v>822</v>
      </c>
    </row>
    <row r="387" customFormat="false" ht="15" hidden="false" customHeight="false" outlineLevel="0" collapsed="false">
      <c r="A387" s="4" t="s">
        <v>276</v>
      </c>
      <c r="B387" s="31" t="n">
        <v>1014615</v>
      </c>
      <c r="C387" s="4" t="s">
        <v>832</v>
      </c>
      <c r="D387" s="4" t="s">
        <v>643</v>
      </c>
      <c r="E387" s="4" t="s">
        <v>281</v>
      </c>
      <c r="F387" s="32" t="n">
        <v>1</v>
      </c>
      <c r="G387" s="34" t="n">
        <v>75932.164</v>
      </c>
      <c r="H387" s="4" t="s">
        <v>822</v>
      </c>
    </row>
    <row r="388" customFormat="false" ht="15" hidden="false" customHeight="false" outlineLevel="0" collapsed="false">
      <c r="A388" s="4" t="s">
        <v>276</v>
      </c>
      <c r="B388" s="31" t="n">
        <v>1000835</v>
      </c>
      <c r="C388" s="4" t="s">
        <v>833</v>
      </c>
      <c r="D388" s="4" t="s">
        <v>677</v>
      </c>
      <c r="E388" s="4" t="s">
        <v>281</v>
      </c>
      <c r="F388" s="32" t="n">
        <v>1</v>
      </c>
      <c r="G388" s="33"/>
      <c r="H388" s="4" t="s">
        <v>834</v>
      </c>
    </row>
    <row r="389" customFormat="false" ht="15" hidden="false" customHeight="false" outlineLevel="0" collapsed="false">
      <c r="A389" s="4" t="s">
        <v>276</v>
      </c>
      <c r="B389" s="31" t="n">
        <v>1001583</v>
      </c>
      <c r="C389" s="4" t="s">
        <v>835</v>
      </c>
      <c r="D389" s="4" t="s">
        <v>677</v>
      </c>
      <c r="E389" s="4" t="s">
        <v>836</v>
      </c>
      <c r="F389" s="32" t="n">
        <v>1</v>
      </c>
      <c r="G389" s="34" t="n">
        <v>26491299.592</v>
      </c>
      <c r="H389" s="4" t="s">
        <v>822</v>
      </c>
    </row>
    <row r="390" customFormat="false" ht="15" hidden="false" customHeight="false" outlineLevel="0" collapsed="false">
      <c r="A390" s="4" t="s">
        <v>276</v>
      </c>
      <c r="B390" s="31" t="n">
        <v>1013805</v>
      </c>
      <c r="C390" s="4" t="s">
        <v>837</v>
      </c>
      <c r="D390" s="4" t="s">
        <v>669</v>
      </c>
      <c r="E390" s="4" t="s">
        <v>838</v>
      </c>
      <c r="F390" s="32" t="n">
        <v>1</v>
      </c>
      <c r="G390" s="34" t="n">
        <v>66215.5</v>
      </c>
      <c r="H390" s="4" t="s">
        <v>822</v>
      </c>
    </row>
    <row r="391" customFormat="false" ht="15" hidden="false" customHeight="false" outlineLevel="0" collapsed="false">
      <c r="A391" s="4" t="s">
        <v>276</v>
      </c>
      <c r="B391" s="31" t="n">
        <v>1001543</v>
      </c>
      <c r="C391" s="4" t="s">
        <v>839</v>
      </c>
      <c r="D391" s="4" t="s">
        <v>643</v>
      </c>
      <c r="E391" s="4" t="s">
        <v>281</v>
      </c>
      <c r="F391" s="32" t="n">
        <v>1</v>
      </c>
      <c r="G391" s="33"/>
      <c r="H391" s="4" t="s">
        <v>822</v>
      </c>
    </row>
    <row r="392" customFormat="false" ht="15" hidden="false" customHeight="false" outlineLevel="0" collapsed="false">
      <c r="A392" s="4" t="s">
        <v>276</v>
      </c>
      <c r="B392" s="31" t="n">
        <v>1001112</v>
      </c>
      <c r="C392" s="4" t="s">
        <v>840</v>
      </c>
      <c r="D392" s="4" t="s">
        <v>675</v>
      </c>
      <c r="E392" s="4" t="s">
        <v>281</v>
      </c>
      <c r="F392" s="32" t="n">
        <v>1</v>
      </c>
      <c r="G392" s="34" t="n">
        <v>4241786.628</v>
      </c>
      <c r="H392" s="4" t="s">
        <v>822</v>
      </c>
    </row>
    <row r="393" customFormat="false" ht="15" hidden="false" customHeight="false" outlineLevel="0" collapsed="false">
      <c r="A393" s="4" t="s">
        <v>276</v>
      </c>
      <c r="B393" s="31" t="n">
        <v>1007180</v>
      </c>
      <c r="C393" s="4" t="s">
        <v>841</v>
      </c>
      <c r="D393" s="4" t="s">
        <v>677</v>
      </c>
      <c r="E393" s="4" t="s">
        <v>281</v>
      </c>
      <c r="F393" s="32" t="n">
        <v>1</v>
      </c>
      <c r="G393" s="34" t="n">
        <v>1455027.44</v>
      </c>
      <c r="H393" s="4" t="s">
        <v>822</v>
      </c>
    </row>
    <row r="394" customFormat="false" ht="15" hidden="false" customHeight="false" outlineLevel="0" collapsed="false">
      <c r="A394" s="4" t="s">
        <v>276</v>
      </c>
      <c r="B394" s="31" t="n">
        <v>1000831</v>
      </c>
      <c r="C394" s="4" t="s">
        <v>842</v>
      </c>
      <c r="D394" s="4" t="s">
        <v>677</v>
      </c>
      <c r="E394" s="4" t="s">
        <v>281</v>
      </c>
      <c r="F394" s="32" t="n">
        <v>1</v>
      </c>
      <c r="G394" s="34" t="n">
        <v>1570968.456</v>
      </c>
      <c r="H394" s="4" t="s">
        <v>822</v>
      </c>
    </row>
    <row r="395" customFormat="false" ht="15" hidden="false" customHeight="false" outlineLevel="0" collapsed="false">
      <c r="A395" s="4" t="s">
        <v>276</v>
      </c>
      <c r="B395" s="31" t="n">
        <v>1001187</v>
      </c>
      <c r="C395" s="4" t="s">
        <v>843</v>
      </c>
      <c r="D395" s="4" t="s">
        <v>677</v>
      </c>
      <c r="E395" s="4" t="s">
        <v>281</v>
      </c>
      <c r="F395" s="32" t="n">
        <v>1</v>
      </c>
      <c r="G395" s="34" t="n">
        <v>5584207.896</v>
      </c>
      <c r="H395" s="4" t="s">
        <v>822</v>
      </c>
    </row>
    <row r="396" customFormat="false" ht="15" hidden="false" customHeight="false" outlineLevel="0" collapsed="false">
      <c r="A396" s="4" t="s">
        <v>276</v>
      </c>
      <c r="B396" s="31" t="n">
        <v>1001489</v>
      </c>
      <c r="C396" s="4" t="s">
        <v>844</v>
      </c>
      <c r="D396" s="4" t="s">
        <v>675</v>
      </c>
      <c r="E396" s="4" t="s">
        <v>281</v>
      </c>
      <c r="F396" s="32" t="n">
        <v>1</v>
      </c>
      <c r="G396" s="34" t="n">
        <v>2699795.332</v>
      </c>
      <c r="H396" s="4" t="s">
        <v>822</v>
      </c>
    </row>
    <row r="397" customFormat="false" ht="15" hidden="false" customHeight="false" outlineLevel="0" collapsed="false">
      <c r="A397" s="4" t="s">
        <v>276</v>
      </c>
      <c r="B397" s="31" t="n">
        <v>1001006</v>
      </c>
      <c r="C397" s="4" t="s">
        <v>845</v>
      </c>
      <c r="D397" s="4" t="s">
        <v>665</v>
      </c>
      <c r="E397" s="4" t="s">
        <v>281</v>
      </c>
      <c r="F397" s="32" t="n">
        <v>1</v>
      </c>
      <c r="G397" s="34" t="n">
        <v>2494124.24</v>
      </c>
      <c r="H397" s="4" t="s">
        <v>822</v>
      </c>
    </row>
    <row r="398" customFormat="false" ht="15" hidden="false" customHeight="false" outlineLevel="0" collapsed="false">
      <c r="A398" s="4" t="s">
        <v>276</v>
      </c>
      <c r="B398" s="31" t="n">
        <v>1001540</v>
      </c>
      <c r="C398" s="4" t="s">
        <v>846</v>
      </c>
      <c r="D398" s="4" t="s">
        <v>643</v>
      </c>
      <c r="E398" s="4" t="s">
        <v>281</v>
      </c>
      <c r="F398" s="32" t="n">
        <v>1</v>
      </c>
      <c r="G398" s="34" t="n">
        <v>4188339.98</v>
      </c>
      <c r="H398" s="4" t="s">
        <v>822</v>
      </c>
    </row>
    <row r="399" customFormat="false" ht="15" hidden="false" customHeight="false" outlineLevel="0" collapsed="false">
      <c r="A399" s="4" t="s">
        <v>276</v>
      </c>
      <c r="B399" s="31" t="n">
        <v>1000402</v>
      </c>
      <c r="C399" s="4" t="s">
        <v>847</v>
      </c>
      <c r="D399" s="4" t="s">
        <v>675</v>
      </c>
      <c r="E399" s="4" t="s">
        <v>281</v>
      </c>
      <c r="F399" s="32" t="n">
        <v>1</v>
      </c>
      <c r="G399" s="34" t="n">
        <v>203558.444</v>
      </c>
      <c r="H399" s="4" t="s">
        <v>822</v>
      </c>
    </row>
    <row r="400" customFormat="false" ht="15" hidden="false" customHeight="false" outlineLevel="0" collapsed="false">
      <c r="A400" s="4" t="s">
        <v>276</v>
      </c>
      <c r="B400" s="31" t="n">
        <v>1007378</v>
      </c>
      <c r="C400" s="4" t="s">
        <v>848</v>
      </c>
      <c r="D400" s="4" t="s">
        <v>643</v>
      </c>
      <c r="E400" s="4" t="s">
        <v>281</v>
      </c>
      <c r="F400" s="32" t="n">
        <v>0.72</v>
      </c>
      <c r="G400" s="33"/>
      <c r="H400" s="4" t="s">
        <v>849</v>
      </c>
    </row>
    <row r="401" customFormat="false" ht="15" hidden="false" customHeight="false" outlineLevel="0" collapsed="false">
      <c r="A401" s="4" t="s">
        <v>276</v>
      </c>
      <c r="B401" s="31" t="n">
        <v>1001109</v>
      </c>
      <c r="C401" s="4" t="s">
        <v>850</v>
      </c>
      <c r="D401" s="4" t="s">
        <v>677</v>
      </c>
      <c r="E401" s="4" t="s">
        <v>281</v>
      </c>
      <c r="F401" s="32" t="n">
        <v>1</v>
      </c>
      <c r="G401" s="34" t="n">
        <v>19532.298</v>
      </c>
      <c r="H401" s="4" t="s">
        <v>822</v>
      </c>
    </row>
    <row r="402" customFormat="false" ht="15" hidden="false" customHeight="false" outlineLevel="0" collapsed="false">
      <c r="A402" s="4" t="s">
        <v>276</v>
      </c>
      <c r="B402" s="31" t="n">
        <v>1000786</v>
      </c>
      <c r="C402" s="4" t="s">
        <v>851</v>
      </c>
      <c r="D402" s="4" t="s">
        <v>677</v>
      </c>
      <c r="E402" s="4" t="s">
        <v>281</v>
      </c>
      <c r="F402" s="32" t="n">
        <v>1</v>
      </c>
      <c r="G402" s="34" t="n">
        <v>2637535.22</v>
      </c>
      <c r="H402" s="4" t="s">
        <v>822</v>
      </c>
    </row>
    <row r="403" customFormat="false" ht="15" hidden="false" customHeight="false" outlineLevel="0" collapsed="false">
      <c r="A403" s="4" t="s">
        <v>276</v>
      </c>
      <c r="B403" s="31" t="n">
        <v>1001322</v>
      </c>
      <c r="C403" s="4" t="s">
        <v>852</v>
      </c>
      <c r="D403" s="4" t="s">
        <v>677</v>
      </c>
      <c r="E403" s="4" t="s">
        <v>281</v>
      </c>
      <c r="F403" s="32" t="n">
        <v>1</v>
      </c>
      <c r="G403" s="34" t="n">
        <v>456149.396</v>
      </c>
      <c r="H403" s="4" t="s">
        <v>822</v>
      </c>
    </row>
    <row r="404" customFormat="false" ht="15" hidden="false" customHeight="false" outlineLevel="0" collapsed="false">
      <c r="A404" s="4" t="s">
        <v>276</v>
      </c>
      <c r="B404" s="31" t="n">
        <v>1001541</v>
      </c>
      <c r="C404" s="4" t="s">
        <v>853</v>
      </c>
      <c r="D404" s="4" t="s">
        <v>643</v>
      </c>
      <c r="E404" s="4" t="s">
        <v>281</v>
      </c>
      <c r="F404" s="32" t="n">
        <v>1</v>
      </c>
      <c r="G404" s="34" t="n">
        <v>2815763.776</v>
      </c>
      <c r="H404" s="4" t="s">
        <v>822</v>
      </c>
    </row>
    <row r="405" customFormat="false" ht="15" hidden="false" customHeight="false" outlineLevel="0" collapsed="false">
      <c r="A405" s="4" t="s">
        <v>276</v>
      </c>
      <c r="B405" s="31" t="n">
        <v>1001085</v>
      </c>
      <c r="C405" s="4" t="s">
        <v>854</v>
      </c>
      <c r="D405" s="4" t="s">
        <v>667</v>
      </c>
      <c r="E405" s="4" t="s">
        <v>281</v>
      </c>
      <c r="F405" s="32" t="n">
        <v>1</v>
      </c>
      <c r="G405" s="34" t="n">
        <v>182344.768</v>
      </c>
      <c r="H405" s="4" t="s">
        <v>822</v>
      </c>
    </row>
    <row r="406" customFormat="false" ht="15" hidden="false" customHeight="false" outlineLevel="0" collapsed="false">
      <c r="A406" s="4" t="s">
        <v>276</v>
      </c>
      <c r="B406" s="31" t="n">
        <v>1009537</v>
      </c>
      <c r="C406" s="4" t="s">
        <v>855</v>
      </c>
      <c r="D406" s="4" t="s">
        <v>675</v>
      </c>
      <c r="E406" s="4" t="s">
        <v>281</v>
      </c>
      <c r="F406" s="32" t="n">
        <v>1</v>
      </c>
      <c r="G406" s="34" t="n">
        <v>2683.7196</v>
      </c>
      <c r="H406" s="4" t="s">
        <v>822</v>
      </c>
    </row>
    <row r="407" customFormat="false" ht="15" hidden="false" customHeight="false" outlineLevel="0" collapsed="false">
      <c r="A407" s="4" t="s">
        <v>276</v>
      </c>
      <c r="B407" s="31" t="n">
        <v>1000787</v>
      </c>
      <c r="C407" s="4" t="s">
        <v>856</v>
      </c>
      <c r="D407" s="4" t="s">
        <v>677</v>
      </c>
      <c r="E407" s="4" t="s">
        <v>281</v>
      </c>
      <c r="F407" s="32" t="n">
        <v>1</v>
      </c>
      <c r="G407" s="34" t="n">
        <v>4122411.542</v>
      </c>
      <c r="H407" s="4" t="s">
        <v>822</v>
      </c>
    </row>
    <row r="408" customFormat="false" ht="15" hidden="false" customHeight="false" outlineLevel="0" collapsed="false">
      <c r="A408" s="4" t="s">
        <v>276</v>
      </c>
      <c r="B408" s="31" t="n">
        <v>1001137</v>
      </c>
      <c r="C408" s="4" t="s">
        <v>857</v>
      </c>
      <c r="D408" s="4" t="s">
        <v>675</v>
      </c>
      <c r="E408" s="4" t="s">
        <v>281</v>
      </c>
      <c r="F408" s="32" t="n">
        <v>1</v>
      </c>
      <c r="G408" s="34" t="n">
        <v>442006.612</v>
      </c>
      <c r="H408" s="4" t="s">
        <v>822</v>
      </c>
    </row>
    <row r="409" customFormat="false" ht="15" hidden="false" customHeight="false" outlineLevel="0" collapsed="false">
      <c r="A409" s="4" t="s">
        <v>276</v>
      </c>
      <c r="B409" s="31" t="n">
        <v>1005857</v>
      </c>
      <c r="C409" s="4" t="s">
        <v>858</v>
      </c>
      <c r="D409" s="4" t="s">
        <v>677</v>
      </c>
      <c r="E409" s="4" t="s">
        <v>836</v>
      </c>
      <c r="F409" s="32" t="n">
        <v>1</v>
      </c>
      <c r="G409" s="34" t="n">
        <v>1647369.2</v>
      </c>
      <c r="H409" s="4" t="s">
        <v>822</v>
      </c>
    </row>
    <row r="410" customFormat="false" ht="15" hidden="false" customHeight="false" outlineLevel="0" collapsed="false">
      <c r="A410" s="4" t="s">
        <v>276</v>
      </c>
      <c r="B410" s="31" t="n">
        <v>1001582</v>
      </c>
      <c r="C410" s="4" t="s">
        <v>859</v>
      </c>
      <c r="D410" s="4" t="s">
        <v>677</v>
      </c>
      <c r="E410" s="4" t="s">
        <v>836</v>
      </c>
      <c r="F410" s="32" t="n">
        <v>1</v>
      </c>
      <c r="G410" s="34" t="n">
        <v>3584228.7</v>
      </c>
      <c r="H410" s="4" t="s">
        <v>822</v>
      </c>
    </row>
    <row r="411" customFormat="false" ht="15" hidden="false" customHeight="false" outlineLevel="0" collapsed="false">
      <c r="A411" s="4" t="s">
        <v>276</v>
      </c>
      <c r="B411" s="31" t="n">
        <v>1001319</v>
      </c>
      <c r="C411" s="4" t="s">
        <v>860</v>
      </c>
      <c r="D411" s="4" t="s">
        <v>643</v>
      </c>
      <c r="E411" s="4" t="s">
        <v>281</v>
      </c>
      <c r="F411" s="32" t="n">
        <v>0.625</v>
      </c>
      <c r="G411" s="34" t="n">
        <v>395166.476</v>
      </c>
      <c r="H411" s="4" t="s">
        <v>861</v>
      </c>
    </row>
    <row r="412" customFormat="false" ht="15" hidden="false" customHeight="false" outlineLevel="0" collapsed="false">
      <c r="A412" s="4" t="s">
        <v>276</v>
      </c>
      <c r="B412" s="31" t="n">
        <v>1000785</v>
      </c>
      <c r="C412" s="4" t="s">
        <v>862</v>
      </c>
      <c r="D412" s="4" t="s">
        <v>677</v>
      </c>
      <c r="E412" s="4" t="s">
        <v>281</v>
      </c>
      <c r="F412" s="32" t="n">
        <v>1</v>
      </c>
      <c r="G412" s="34" t="n">
        <v>82993.284</v>
      </c>
      <c r="H412" s="4" t="s">
        <v>822</v>
      </c>
    </row>
    <row r="413" customFormat="false" ht="15" hidden="false" customHeight="false" outlineLevel="0" collapsed="false">
      <c r="A413" s="4" t="s">
        <v>276</v>
      </c>
      <c r="B413" s="31" t="n">
        <v>1000830</v>
      </c>
      <c r="C413" s="4" t="s">
        <v>863</v>
      </c>
      <c r="D413" s="4" t="s">
        <v>677</v>
      </c>
      <c r="E413" s="4" t="s">
        <v>281</v>
      </c>
      <c r="F413" s="32" t="n">
        <v>1</v>
      </c>
      <c r="G413" s="34" t="n">
        <v>141042.74</v>
      </c>
      <c r="H413" s="4" t="s">
        <v>822</v>
      </c>
    </row>
    <row r="414" customFormat="false" ht="15" hidden="false" customHeight="false" outlineLevel="0" collapsed="false">
      <c r="A414" s="4" t="s">
        <v>276</v>
      </c>
      <c r="B414" s="31" t="n">
        <v>1001014</v>
      </c>
      <c r="C414" s="4" t="s">
        <v>864</v>
      </c>
      <c r="D414" s="4" t="s">
        <v>675</v>
      </c>
      <c r="E414" s="4" t="s">
        <v>281</v>
      </c>
      <c r="F414" s="32" t="n">
        <v>1</v>
      </c>
      <c r="G414" s="34" t="n">
        <v>83352.654</v>
      </c>
      <c r="H414" s="4" t="s">
        <v>822</v>
      </c>
    </row>
    <row r="415" customFormat="false" ht="15" hidden="false" customHeight="false" outlineLevel="0" collapsed="false">
      <c r="A415" s="4" t="s">
        <v>276</v>
      </c>
      <c r="B415" s="31" t="n">
        <v>1001490</v>
      </c>
      <c r="C415" s="4" t="s">
        <v>865</v>
      </c>
      <c r="D415" s="4" t="s">
        <v>675</v>
      </c>
      <c r="E415" s="4" t="s">
        <v>281</v>
      </c>
      <c r="F415" s="32" t="n">
        <v>1</v>
      </c>
      <c r="G415" s="34" t="n">
        <v>30858.636</v>
      </c>
      <c r="H415" s="4" t="s">
        <v>822</v>
      </c>
    </row>
    <row r="416" customFormat="false" ht="15" hidden="false" customHeight="false" outlineLevel="0" collapsed="false">
      <c r="A416" s="4" t="s">
        <v>276</v>
      </c>
      <c r="B416" s="31" t="n">
        <v>1001487</v>
      </c>
      <c r="C416" s="4" t="s">
        <v>866</v>
      </c>
      <c r="D416" s="4" t="s">
        <v>675</v>
      </c>
      <c r="E416" s="4" t="s">
        <v>281</v>
      </c>
      <c r="F416" s="32" t="n">
        <v>1</v>
      </c>
      <c r="G416" s="34" t="n">
        <v>8392686.334</v>
      </c>
      <c r="H416" s="4" t="s">
        <v>822</v>
      </c>
    </row>
    <row r="417" customFormat="false" ht="15" hidden="false" customHeight="false" outlineLevel="0" collapsed="false">
      <c r="A417" s="4" t="s">
        <v>276</v>
      </c>
      <c r="B417" s="31" t="n">
        <v>1001150</v>
      </c>
      <c r="C417" s="4" t="s">
        <v>867</v>
      </c>
      <c r="D417" s="4" t="s">
        <v>677</v>
      </c>
      <c r="E417" s="4" t="s">
        <v>281</v>
      </c>
      <c r="F417" s="32" t="n">
        <v>1</v>
      </c>
      <c r="G417" s="34" t="n">
        <v>3485840.006</v>
      </c>
      <c r="H417" s="4" t="s">
        <v>822</v>
      </c>
    </row>
    <row r="418" customFormat="false" ht="15" hidden="false" customHeight="false" outlineLevel="0" collapsed="false">
      <c r="A418" s="4" t="s">
        <v>276</v>
      </c>
      <c r="B418" s="31" t="n">
        <v>1001030</v>
      </c>
      <c r="C418" s="4" t="s">
        <v>868</v>
      </c>
      <c r="D418" s="4" t="s">
        <v>643</v>
      </c>
      <c r="E418" s="4" t="s">
        <v>281</v>
      </c>
      <c r="F418" s="32" t="n">
        <v>0.9011</v>
      </c>
      <c r="G418" s="34" t="n">
        <v>8268672.152</v>
      </c>
      <c r="H418" s="4" t="s">
        <v>869</v>
      </c>
    </row>
    <row r="419" customFormat="false" ht="15" hidden="false" customHeight="false" outlineLevel="0" collapsed="false">
      <c r="A419" s="4" t="s">
        <v>276</v>
      </c>
      <c r="B419" s="31" t="n">
        <v>1000834</v>
      </c>
      <c r="C419" s="4" t="s">
        <v>870</v>
      </c>
      <c r="D419" s="4" t="s">
        <v>677</v>
      </c>
      <c r="E419" s="4" t="s">
        <v>281</v>
      </c>
      <c r="F419" s="32" t="n">
        <v>1</v>
      </c>
      <c r="G419" s="34" t="n">
        <v>5154520.468</v>
      </c>
      <c r="H419" s="4" t="s">
        <v>822</v>
      </c>
    </row>
    <row r="420" customFormat="false" ht="15" hidden="false" customHeight="false" outlineLevel="0" collapsed="false">
      <c r="A420" s="4" t="s">
        <v>276</v>
      </c>
      <c r="B420" s="31" t="n">
        <v>1007246</v>
      </c>
      <c r="C420" s="4" t="s">
        <v>871</v>
      </c>
      <c r="D420" s="4" t="s">
        <v>675</v>
      </c>
      <c r="E420" s="4" t="s">
        <v>281</v>
      </c>
      <c r="F420" s="32" t="n">
        <v>1</v>
      </c>
      <c r="G420" s="34" t="n">
        <v>1149386.94</v>
      </c>
      <c r="H420" s="4" t="s">
        <v>822</v>
      </c>
    </row>
    <row r="421" customFormat="false" ht="15" hidden="false" customHeight="false" outlineLevel="0" collapsed="false">
      <c r="A421" s="4" t="s">
        <v>276</v>
      </c>
      <c r="B421" s="31" t="n">
        <v>1001318</v>
      </c>
      <c r="C421" s="4" t="s">
        <v>872</v>
      </c>
      <c r="D421" s="4" t="s">
        <v>667</v>
      </c>
      <c r="E421" s="4" t="s">
        <v>281</v>
      </c>
      <c r="F421" s="32" t="n">
        <v>1</v>
      </c>
      <c r="G421" s="34" t="n">
        <v>634516.596</v>
      </c>
      <c r="H421" s="4" t="s">
        <v>822</v>
      </c>
    </row>
    <row r="422" customFormat="false" ht="15" hidden="false" customHeight="false" outlineLevel="0" collapsed="false">
      <c r="A422" s="4" t="s">
        <v>276</v>
      </c>
      <c r="B422" s="31" t="n">
        <v>1000828</v>
      </c>
      <c r="C422" s="4" t="s">
        <v>873</v>
      </c>
      <c r="D422" s="4" t="s">
        <v>677</v>
      </c>
      <c r="E422" s="4" t="s">
        <v>281</v>
      </c>
      <c r="F422" s="32" t="n">
        <v>1</v>
      </c>
      <c r="G422" s="34" t="n">
        <v>1495648.708</v>
      </c>
      <c r="H422" s="4" t="s">
        <v>822</v>
      </c>
    </row>
    <row r="423" customFormat="false" ht="15" hidden="false" customHeight="false" outlineLevel="0" collapsed="false">
      <c r="A423" s="4" t="s">
        <v>276</v>
      </c>
      <c r="B423" s="31" t="n">
        <v>1001738</v>
      </c>
      <c r="C423" s="4" t="s">
        <v>874</v>
      </c>
      <c r="D423" s="4" t="s">
        <v>667</v>
      </c>
      <c r="E423" s="4" t="s">
        <v>836</v>
      </c>
      <c r="F423" s="32" t="n">
        <v>1</v>
      </c>
      <c r="G423" s="34" t="n">
        <v>689859.75</v>
      </c>
      <c r="H423" s="4" t="s">
        <v>822</v>
      </c>
    </row>
    <row r="424" customFormat="false" ht="15" hidden="false" customHeight="false" outlineLevel="0" collapsed="false">
      <c r="A424" s="4" t="s">
        <v>276</v>
      </c>
      <c r="B424" s="31" t="n">
        <v>1000832</v>
      </c>
      <c r="C424" s="4" t="s">
        <v>875</v>
      </c>
      <c r="D424" s="4" t="s">
        <v>677</v>
      </c>
      <c r="E424" s="4" t="s">
        <v>281</v>
      </c>
      <c r="F424" s="32" t="n">
        <v>1</v>
      </c>
      <c r="G424" s="34" t="n">
        <v>3711093.676</v>
      </c>
      <c r="H424" s="4" t="s">
        <v>822</v>
      </c>
    </row>
    <row r="425" customFormat="false" ht="15" hidden="false" customHeight="false" outlineLevel="0" collapsed="false">
      <c r="A425" s="4" t="s">
        <v>276</v>
      </c>
      <c r="B425" s="31" t="n">
        <v>1000163</v>
      </c>
      <c r="C425" s="4" t="s">
        <v>876</v>
      </c>
      <c r="D425" s="4" t="s">
        <v>669</v>
      </c>
      <c r="E425" s="4" t="s">
        <v>281</v>
      </c>
      <c r="F425" s="32" t="n">
        <v>1</v>
      </c>
      <c r="G425" s="34" t="n">
        <v>29422.172</v>
      </c>
      <c r="H425" s="4" t="s">
        <v>822</v>
      </c>
    </row>
    <row r="426" customFormat="false" ht="15" hidden="false" customHeight="false" outlineLevel="0" collapsed="false">
      <c r="A426" s="4" t="s">
        <v>276</v>
      </c>
      <c r="B426" s="31" t="n">
        <v>1007373</v>
      </c>
      <c r="C426" s="4" t="s">
        <v>877</v>
      </c>
      <c r="D426" s="4" t="s">
        <v>675</v>
      </c>
      <c r="E426" s="4" t="s">
        <v>281</v>
      </c>
      <c r="F426" s="32" t="n">
        <v>1</v>
      </c>
      <c r="G426" s="33"/>
      <c r="H426" s="4" t="s">
        <v>822</v>
      </c>
    </row>
    <row r="427" customFormat="false" ht="15" hidden="false" customHeight="false" outlineLevel="0" collapsed="false">
      <c r="A427" s="4" t="s">
        <v>276</v>
      </c>
      <c r="B427" s="31" t="n">
        <v>1000840</v>
      </c>
      <c r="C427" s="4" t="s">
        <v>878</v>
      </c>
      <c r="D427" s="4" t="s">
        <v>667</v>
      </c>
      <c r="E427" s="4" t="s">
        <v>281</v>
      </c>
      <c r="F427" s="32" t="n">
        <v>0.804</v>
      </c>
      <c r="G427" s="33"/>
      <c r="H427" s="4" t="s">
        <v>879</v>
      </c>
    </row>
    <row r="428" customFormat="false" ht="15" hidden="false" customHeight="false" outlineLevel="0" collapsed="false">
      <c r="A428" s="4" t="s">
        <v>276</v>
      </c>
      <c r="B428" s="31" t="n">
        <v>1002687</v>
      </c>
      <c r="C428" s="4" t="s">
        <v>880</v>
      </c>
      <c r="D428" s="4" t="s">
        <v>667</v>
      </c>
      <c r="E428" s="4" t="s">
        <v>836</v>
      </c>
      <c r="F428" s="32" t="n">
        <v>1</v>
      </c>
      <c r="G428" s="34" t="n">
        <v>3835937.1</v>
      </c>
      <c r="H428" s="4" t="s">
        <v>822</v>
      </c>
    </row>
    <row r="429" customFormat="false" ht="15" hidden="false" customHeight="false" outlineLevel="0" collapsed="false">
      <c r="A429" s="4" t="s">
        <v>276</v>
      </c>
      <c r="B429" s="31" t="n">
        <v>1001542</v>
      </c>
      <c r="C429" s="4" t="s">
        <v>881</v>
      </c>
      <c r="D429" s="4" t="s">
        <v>643</v>
      </c>
      <c r="E429" s="4" t="s">
        <v>281</v>
      </c>
      <c r="F429" s="32" t="n">
        <v>1</v>
      </c>
      <c r="G429" s="34" t="n">
        <v>513412.848</v>
      </c>
      <c r="H429" s="4" t="s">
        <v>822</v>
      </c>
    </row>
    <row r="430" customFormat="false" ht="15" hidden="false" customHeight="false" outlineLevel="0" collapsed="false">
      <c r="A430" s="4" t="s">
        <v>276</v>
      </c>
      <c r="B430" s="31" t="n">
        <v>1009685</v>
      </c>
      <c r="C430" s="4" t="s">
        <v>882</v>
      </c>
      <c r="D430" s="4" t="s">
        <v>677</v>
      </c>
      <c r="E430" s="4" t="s">
        <v>830</v>
      </c>
      <c r="F430" s="32" t="n">
        <v>1</v>
      </c>
      <c r="G430" s="34" t="n">
        <v>143337.4668</v>
      </c>
      <c r="H430" s="4" t="s">
        <v>822</v>
      </c>
    </row>
    <row r="431" customFormat="false" ht="15" hidden="false" customHeight="false" outlineLevel="0" collapsed="false">
      <c r="A431" s="4" t="s">
        <v>276</v>
      </c>
      <c r="B431" s="31" t="n">
        <v>1001145</v>
      </c>
      <c r="C431" s="4" t="s">
        <v>883</v>
      </c>
      <c r="D431" s="4" t="s">
        <v>643</v>
      </c>
      <c r="E431" s="4" t="s">
        <v>281</v>
      </c>
      <c r="F431" s="32" t="n">
        <v>1</v>
      </c>
      <c r="G431" s="34" t="n">
        <v>141591.276</v>
      </c>
      <c r="H431" s="4" t="s">
        <v>822</v>
      </c>
    </row>
    <row r="432" customFormat="false" ht="15" hidden="false" customHeight="false" outlineLevel="0" collapsed="false">
      <c r="A432" s="4" t="s">
        <v>285</v>
      </c>
      <c r="B432" s="31" t="n">
        <v>1013499</v>
      </c>
      <c r="C432" s="4" t="s">
        <v>884</v>
      </c>
      <c r="D432" s="4" t="s">
        <v>675</v>
      </c>
      <c r="E432" s="4" t="s">
        <v>830</v>
      </c>
      <c r="F432" s="32" t="n">
        <v>1</v>
      </c>
      <c r="G432" s="33"/>
      <c r="H432" s="4" t="s">
        <v>885</v>
      </c>
    </row>
    <row r="433" customFormat="false" ht="15" hidden="false" customHeight="false" outlineLevel="0" collapsed="false">
      <c r="A433" s="4" t="s">
        <v>285</v>
      </c>
      <c r="B433" s="31" t="n">
        <v>1007255</v>
      </c>
      <c r="C433" s="4" t="s">
        <v>886</v>
      </c>
      <c r="D433" s="4" t="s">
        <v>675</v>
      </c>
      <c r="E433" s="4" t="s">
        <v>281</v>
      </c>
      <c r="F433" s="32" t="n">
        <v>1</v>
      </c>
      <c r="G433" s="34" t="n">
        <v>2422837.152</v>
      </c>
      <c r="H433" s="4" t="s">
        <v>885</v>
      </c>
    </row>
    <row r="434" customFormat="false" ht="15" hidden="false" customHeight="false" outlineLevel="0" collapsed="false">
      <c r="A434" s="4" t="s">
        <v>285</v>
      </c>
      <c r="B434" s="31" t="n">
        <v>1013640</v>
      </c>
      <c r="C434" s="4" t="s">
        <v>887</v>
      </c>
      <c r="D434" s="4" t="s">
        <v>675</v>
      </c>
      <c r="E434" s="4" t="s">
        <v>281</v>
      </c>
      <c r="F434" s="32" t="n">
        <v>1</v>
      </c>
      <c r="G434" s="34" t="n">
        <v>3813083.944</v>
      </c>
      <c r="H434" s="4" t="s">
        <v>885</v>
      </c>
    </row>
    <row r="435" customFormat="false" ht="15" hidden="false" customHeight="false" outlineLevel="0" collapsed="false">
      <c r="A435" s="4" t="s">
        <v>285</v>
      </c>
      <c r="B435" s="31" t="n">
        <v>1007317</v>
      </c>
      <c r="C435" s="4" t="s">
        <v>888</v>
      </c>
      <c r="D435" s="4" t="s">
        <v>675</v>
      </c>
      <c r="E435" s="4" t="s">
        <v>281</v>
      </c>
      <c r="F435" s="32" t="n">
        <v>1</v>
      </c>
      <c r="G435" s="34" t="n">
        <v>1331142.564</v>
      </c>
      <c r="H435" s="4" t="s">
        <v>885</v>
      </c>
    </row>
    <row r="436" customFormat="false" ht="15" hidden="false" customHeight="false" outlineLevel="0" collapsed="false">
      <c r="A436" s="4" t="s">
        <v>285</v>
      </c>
      <c r="B436" s="31" t="n">
        <v>1007370</v>
      </c>
      <c r="C436" s="4" t="s">
        <v>889</v>
      </c>
      <c r="D436" s="4" t="s">
        <v>503</v>
      </c>
      <c r="E436" s="4" t="s">
        <v>281</v>
      </c>
      <c r="F436" s="32" t="n">
        <v>0.25</v>
      </c>
      <c r="G436" s="34" t="n">
        <v>5076457.858</v>
      </c>
      <c r="H436" s="4" t="s">
        <v>890</v>
      </c>
    </row>
    <row r="437" customFormat="false" ht="15" hidden="false" customHeight="false" outlineLevel="0" collapsed="false">
      <c r="A437" s="4" t="s">
        <v>285</v>
      </c>
      <c r="B437" s="31" t="n">
        <v>1001485</v>
      </c>
      <c r="C437" s="4" t="s">
        <v>891</v>
      </c>
      <c r="D437" s="4" t="s">
        <v>675</v>
      </c>
      <c r="E437" s="4" t="s">
        <v>281</v>
      </c>
      <c r="F437" s="32" t="n">
        <v>1</v>
      </c>
      <c r="G437" s="34" t="n">
        <v>2510228.488</v>
      </c>
      <c r="H437" s="4" t="s">
        <v>885</v>
      </c>
    </row>
    <row r="438" customFormat="false" ht="15" hidden="false" customHeight="false" outlineLevel="0" collapsed="false">
      <c r="A438" s="4" t="s">
        <v>285</v>
      </c>
      <c r="B438" s="31" t="n">
        <v>1013722</v>
      </c>
      <c r="C438" s="4" t="s">
        <v>892</v>
      </c>
      <c r="D438" s="4" t="s">
        <v>311</v>
      </c>
      <c r="E438" s="4" t="s">
        <v>85</v>
      </c>
      <c r="F438" s="32" t="n">
        <v>1</v>
      </c>
      <c r="G438" s="34" t="n">
        <v>122944.016</v>
      </c>
      <c r="H438" s="4" t="s">
        <v>885</v>
      </c>
    </row>
    <row r="439" customFormat="false" ht="15" hidden="false" customHeight="false" outlineLevel="0" collapsed="false">
      <c r="A439" s="4" t="s">
        <v>285</v>
      </c>
      <c r="B439" s="31" t="n">
        <v>1004229</v>
      </c>
      <c r="C439" s="4" t="s">
        <v>893</v>
      </c>
      <c r="D439" s="4" t="s">
        <v>675</v>
      </c>
      <c r="E439" s="4" t="s">
        <v>836</v>
      </c>
      <c r="F439" s="32" t="n">
        <v>1</v>
      </c>
      <c r="G439" s="33"/>
      <c r="H439" s="4" t="s">
        <v>885</v>
      </c>
    </row>
    <row r="440" customFormat="false" ht="15" hidden="false" customHeight="false" outlineLevel="0" collapsed="false">
      <c r="A440" s="4" t="s">
        <v>285</v>
      </c>
      <c r="B440" s="31" t="n">
        <v>1007159</v>
      </c>
      <c r="C440" s="4" t="s">
        <v>894</v>
      </c>
      <c r="D440" s="4" t="s">
        <v>675</v>
      </c>
      <c r="E440" s="4" t="s">
        <v>281</v>
      </c>
      <c r="F440" s="32" t="n">
        <v>1</v>
      </c>
      <c r="G440" s="34" t="n">
        <v>2447576.064</v>
      </c>
      <c r="H440" s="4" t="s">
        <v>885</v>
      </c>
    </row>
    <row r="441" customFormat="false" ht="15" hidden="false" customHeight="false" outlineLevel="0" collapsed="false">
      <c r="A441" s="4" t="s">
        <v>285</v>
      </c>
      <c r="B441" s="31" t="n">
        <v>1013100</v>
      </c>
      <c r="C441" s="4" t="s">
        <v>895</v>
      </c>
      <c r="D441" s="4" t="s">
        <v>311</v>
      </c>
      <c r="E441" s="4" t="s">
        <v>331</v>
      </c>
      <c r="F441" s="32" t="n">
        <v>1</v>
      </c>
      <c r="G441" s="34" t="n">
        <v>43420.7</v>
      </c>
      <c r="H441" s="4" t="s">
        <v>885</v>
      </c>
    </row>
    <row r="442" customFormat="false" ht="15" hidden="false" customHeight="false" outlineLevel="0" collapsed="false">
      <c r="A442" s="4" t="s">
        <v>285</v>
      </c>
      <c r="B442" s="31" t="n">
        <v>1003060</v>
      </c>
      <c r="C442" s="4" t="s">
        <v>896</v>
      </c>
      <c r="D442" s="4" t="s">
        <v>675</v>
      </c>
      <c r="E442" s="4" t="s">
        <v>830</v>
      </c>
      <c r="F442" s="32" t="n">
        <v>1</v>
      </c>
      <c r="G442" s="34" t="n">
        <v>8924.6496</v>
      </c>
      <c r="H442" s="4" t="s">
        <v>885</v>
      </c>
    </row>
    <row r="443" customFormat="false" ht="15" hidden="false" customHeight="false" outlineLevel="0" collapsed="false">
      <c r="A443" s="4" t="s">
        <v>285</v>
      </c>
      <c r="B443" s="31" t="n">
        <v>1006808</v>
      </c>
      <c r="C443" s="4" t="s">
        <v>897</v>
      </c>
      <c r="D443" s="4" t="s">
        <v>675</v>
      </c>
      <c r="E443" s="4" t="s">
        <v>281</v>
      </c>
      <c r="F443" s="32" t="n">
        <v>1</v>
      </c>
      <c r="G443" s="34" t="n">
        <v>217058.986</v>
      </c>
      <c r="H443" s="4" t="s">
        <v>885</v>
      </c>
    </row>
    <row r="444" customFormat="false" ht="15" hidden="false" customHeight="false" outlineLevel="0" collapsed="false">
      <c r="A444" s="4" t="s">
        <v>285</v>
      </c>
      <c r="B444" s="31" t="n">
        <v>1013922</v>
      </c>
      <c r="C444" s="4" t="s">
        <v>898</v>
      </c>
      <c r="D444" s="4" t="s">
        <v>311</v>
      </c>
      <c r="E444" s="4" t="s">
        <v>331</v>
      </c>
      <c r="F444" s="32" t="n">
        <v>1</v>
      </c>
      <c r="G444" s="34" t="n">
        <v>79047.514</v>
      </c>
      <c r="H444" s="4" t="s">
        <v>885</v>
      </c>
    </row>
    <row r="445" customFormat="false" ht="15" hidden="false" customHeight="false" outlineLevel="0" collapsed="false">
      <c r="A445" s="4" t="s">
        <v>285</v>
      </c>
      <c r="B445" s="31" t="n">
        <v>1002500</v>
      </c>
      <c r="C445" s="4" t="s">
        <v>899</v>
      </c>
      <c r="D445" s="4" t="s">
        <v>675</v>
      </c>
      <c r="E445" s="4" t="s">
        <v>281</v>
      </c>
      <c r="F445" s="32" t="n">
        <v>1</v>
      </c>
      <c r="G445" s="34" t="n">
        <v>92555.952</v>
      </c>
      <c r="H445" s="4" t="s">
        <v>885</v>
      </c>
    </row>
    <row r="446" customFormat="false" ht="15" hidden="false" customHeight="false" outlineLevel="0" collapsed="false">
      <c r="A446" s="4" t="s">
        <v>285</v>
      </c>
      <c r="B446" s="31" t="n">
        <v>1001615</v>
      </c>
      <c r="C446" s="4" t="s">
        <v>900</v>
      </c>
      <c r="D446" s="4" t="s">
        <v>901</v>
      </c>
      <c r="E446" s="4" t="s">
        <v>281</v>
      </c>
      <c r="F446" s="32" t="n">
        <v>1</v>
      </c>
      <c r="G446" s="34" t="n">
        <v>52726.078</v>
      </c>
      <c r="H446" s="4" t="s">
        <v>885</v>
      </c>
    </row>
    <row r="447" customFormat="false" ht="15" hidden="false" customHeight="false" outlineLevel="0" collapsed="false">
      <c r="A447" s="4" t="s">
        <v>285</v>
      </c>
      <c r="B447" s="31" t="n">
        <v>1003617</v>
      </c>
      <c r="C447" s="4" t="s">
        <v>902</v>
      </c>
      <c r="D447" s="4" t="s">
        <v>402</v>
      </c>
      <c r="E447" s="4" t="s">
        <v>816</v>
      </c>
      <c r="F447" s="32" t="n">
        <v>0.44966</v>
      </c>
      <c r="G447" s="33"/>
      <c r="H447" s="4" t="s">
        <v>903</v>
      </c>
    </row>
    <row r="448" customFormat="false" ht="15" hidden="false" customHeight="false" outlineLevel="0" collapsed="false">
      <c r="A448" s="4" t="s">
        <v>285</v>
      </c>
      <c r="B448" s="31" t="n">
        <v>1001207</v>
      </c>
      <c r="C448" s="4" t="s">
        <v>904</v>
      </c>
      <c r="D448" s="4" t="s">
        <v>777</v>
      </c>
      <c r="E448" s="4" t="s">
        <v>281</v>
      </c>
      <c r="F448" s="32" t="n">
        <v>1</v>
      </c>
      <c r="G448" s="34" t="n">
        <v>47720.114</v>
      </c>
      <c r="H448" s="4" t="s">
        <v>885</v>
      </c>
    </row>
    <row r="449" customFormat="false" ht="15" hidden="false" customHeight="false" outlineLevel="0" collapsed="false">
      <c r="A449" s="4" t="s">
        <v>285</v>
      </c>
      <c r="B449" s="31" t="n">
        <v>1013354</v>
      </c>
      <c r="C449" s="4" t="s">
        <v>905</v>
      </c>
      <c r="D449" s="4" t="s">
        <v>311</v>
      </c>
      <c r="E449" s="4" t="s">
        <v>328</v>
      </c>
      <c r="F449" s="32" t="n">
        <v>1</v>
      </c>
      <c r="G449" s="34" t="n">
        <v>197365.654</v>
      </c>
      <c r="H449" s="4" t="s">
        <v>885</v>
      </c>
    </row>
    <row r="450" customFormat="false" ht="15" hidden="false" customHeight="false" outlineLevel="0" collapsed="false">
      <c r="A450" s="4" t="s">
        <v>285</v>
      </c>
      <c r="B450" s="31" t="n">
        <v>1007171</v>
      </c>
      <c r="C450" s="4" t="s">
        <v>906</v>
      </c>
      <c r="D450" s="4" t="s">
        <v>675</v>
      </c>
      <c r="E450" s="4" t="s">
        <v>281</v>
      </c>
      <c r="F450" s="32" t="n">
        <v>1</v>
      </c>
      <c r="G450" s="34" t="n">
        <v>7147923.976</v>
      </c>
      <c r="H450" s="4" t="s">
        <v>885</v>
      </c>
    </row>
    <row r="451" customFormat="false" ht="15" hidden="false" customHeight="false" outlineLevel="0" collapsed="false">
      <c r="A451" s="4" t="s">
        <v>285</v>
      </c>
      <c r="B451" s="31" t="n">
        <v>1001484</v>
      </c>
      <c r="C451" s="4" t="s">
        <v>907</v>
      </c>
      <c r="D451" s="4" t="s">
        <v>675</v>
      </c>
      <c r="E451" s="4" t="s">
        <v>281</v>
      </c>
      <c r="F451" s="32" t="n">
        <v>1</v>
      </c>
      <c r="G451" s="34" t="n">
        <v>2027489.322</v>
      </c>
      <c r="H451" s="4" t="s">
        <v>885</v>
      </c>
    </row>
    <row r="452" customFormat="false" ht="15" hidden="false" customHeight="false" outlineLevel="0" collapsed="false">
      <c r="A452" s="4" t="s">
        <v>285</v>
      </c>
      <c r="B452" s="31" t="n">
        <v>1001491</v>
      </c>
      <c r="C452" s="4" t="s">
        <v>908</v>
      </c>
      <c r="D452" s="4" t="s">
        <v>675</v>
      </c>
      <c r="E452" s="4" t="s">
        <v>281</v>
      </c>
      <c r="F452" s="32" t="n">
        <v>1</v>
      </c>
      <c r="G452" s="34" t="n">
        <v>1602400.96</v>
      </c>
      <c r="H452" s="4" t="s">
        <v>885</v>
      </c>
    </row>
    <row r="453" customFormat="false" ht="15" hidden="false" customHeight="false" outlineLevel="0" collapsed="false">
      <c r="A453" s="4" t="s">
        <v>285</v>
      </c>
      <c r="B453" s="31" t="n">
        <v>1001051</v>
      </c>
      <c r="C453" s="4" t="s">
        <v>909</v>
      </c>
      <c r="D453" s="4" t="s">
        <v>772</v>
      </c>
      <c r="E453" s="4" t="s">
        <v>281</v>
      </c>
      <c r="F453" s="32" t="n">
        <v>0.0833</v>
      </c>
      <c r="G453" s="34" t="n">
        <v>7612538.87</v>
      </c>
      <c r="H453" s="4" t="s">
        <v>910</v>
      </c>
    </row>
    <row r="454" customFormat="false" ht="15" hidden="false" customHeight="false" outlineLevel="0" collapsed="false">
      <c r="A454" s="4" t="s">
        <v>285</v>
      </c>
      <c r="B454" s="31" t="n">
        <v>1007471</v>
      </c>
      <c r="C454" s="4" t="s">
        <v>911</v>
      </c>
      <c r="D454" s="4" t="s">
        <v>675</v>
      </c>
      <c r="E454" s="4" t="s">
        <v>281</v>
      </c>
      <c r="F454" s="32" t="n">
        <v>1</v>
      </c>
      <c r="G454" s="34" t="n">
        <v>2315109.988</v>
      </c>
      <c r="H454" s="4" t="s">
        <v>885</v>
      </c>
    </row>
    <row r="455" customFormat="false" ht="15" hidden="false" customHeight="false" outlineLevel="0" collapsed="false">
      <c r="A455" s="4" t="s">
        <v>285</v>
      </c>
      <c r="B455" s="31" t="n">
        <v>1010316</v>
      </c>
      <c r="C455" s="4" t="s">
        <v>912</v>
      </c>
      <c r="D455" s="4" t="s">
        <v>311</v>
      </c>
      <c r="E455" s="4" t="s">
        <v>830</v>
      </c>
      <c r="F455" s="32" t="n">
        <v>1</v>
      </c>
      <c r="G455" s="33"/>
      <c r="H455" s="4" t="s">
        <v>913</v>
      </c>
    </row>
    <row r="456" customFormat="false" ht="15" hidden="false" customHeight="false" outlineLevel="0" collapsed="false">
      <c r="A456" s="4" t="s">
        <v>285</v>
      </c>
      <c r="B456" s="31" t="n">
        <v>1001483</v>
      </c>
      <c r="C456" s="4" t="s">
        <v>914</v>
      </c>
      <c r="D456" s="4" t="s">
        <v>675</v>
      </c>
      <c r="E456" s="4" t="s">
        <v>281</v>
      </c>
      <c r="F456" s="32" t="n">
        <v>1</v>
      </c>
      <c r="G456" s="34" t="n">
        <v>4127200.89</v>
      </c>
      <c r="H456" s="4" t="s">
        <v>885</v>
      </c>
    </row>
    <row r="457" customFormat="false" ht="15" hidden="false" customHeight="false" outlineLevel="0" collapsed="false">
      <c r="A457" s="4" t="s">
        <v>285</v>
      </c>
      <c r="B457" s="31" t="n">
        <v>1012605</v>
      </c>
      <c r="C457" s="4" t="s">
        <v>915</v>
      </c>
      <c r="D457" s="4" t="s">
        <v>311</v>
      </c>
      <c r="E457" s="4" t="s">
        <v>331</v>
      </c>
      <c r="F457" s="32" t="n">
        <v>1</v>
      </c>
      <c r="G457" s="34" t="n">
        <v>14668.474</v>
      </c>
      <c r="H457" s="4" t="s">
        <v>885</v>
      </c>
    </row>
    <row r="458" customFormat="false" ht="15" hidden="false" customHeight="false" outlineLevel="0" collapsed="false">
      <c r="A458" s="4" t="s">
        <v>285</v>
      </c>
      <c r="B458" s="31" t="n">
        <v>1001013</v>
      </c>
      <c r="C458" s="4" t="s">
        <v>916</v>
      </c>
      <c r="D458" s="4" t="s">
        <v>675</v>
      </c>
      <c r="E458" s="4" t="s">
        <v>281</v>
      </c>
      <c r="F458" s="32" t="n">
        <v>1</v>
      </c>
      <c r="G458" s="34" t="n">
        <v>3286219.308</v>
      </c>
      <c r="H458" s="4" t="s">
        <v>885</v>
      </c>
    </row>
    <row r="459" customFormat="false" ht="15" hidden="false" customHeight="false" outlineLevel="0" collapsed="false">
      <c r="A459" s="4" t="s">
        <v>285</v>
      </c>
      <c r="B459" s="31" t="n">
        <v>1007650</v>
      </c>
      <c r="C459" s="4" t="s">
        <v>917</v>
      </c>
      <c r="D459" s="4" t="s">
        <v>675</v>
      </c>
      <c r="E459" s="4" t="s">
        <v>281</v>
      </c>
      <c r="F459" s="32" t="n">
        <v>1</v>
      </c>
      <c r="G459" s="34" t="n">
        <v>2522128.184</v>
      </c>
      <c r="H459" s="4" t="s">
        <v>885</v>
      </c>
    </row>
    <row r="460" customFormat="false" ht="15" hidden="false" customHeight="false" outlineLevel="0" collapsed="false">
      <c r="A460" s="4" t="s">
        <v>285</v>
      </c>
      <c r="B460" s="31" t="n">
        <v>1006702</v>
      </c>
      <c r="C460" s="4" t="s">
        <v>918</v>
      </c>
      <c r="D460" s="4" t="s">
        <v>675</v>
      </c>
      <c r="E460" s="4" t="s">
        <v>281</v>
      </c>
      <c r="F460" s="32" t="n">
        <v>1</v>
      </c>
      <c r="G460" s="34" t="n">
        <v>1507349.868</v>
      </c>
      <c r="H460" s="4" t="s">
        <v>885</v>
      </c>
    </row>
    <row r="461" customFormat="false" ht="15" hidden="false" customHeight="false" outlineLevel="0" collapsed="false">
      <c r="A461" s="4" t="s">
        <v>285</v>
      </c>
      <c r="B461" s="31" t="n">
        <v>1006802</v>
      </c>
      <c r="C461" s="4" t="s">
        <v>919</v>
      </c>
      <c r="D461" s="4" t="s">
        <v>675</v>
      </c>
      <c r="E461" s="4" t="s">
        <v>281</v>
      </c>
      <c r="F461" s="32" t="n">
        <v>1</v>
      </c>
      <c r="G461" s="34" t="n">
        <v>3027145.88</v>
      </c>
      <c r="H461" s="4" t="s">
        <v>885</v>
      </c>
    </row>
    <row r="462" customFormat="false" ht="15" hidden="false" customHeight="false" outlineLevel="0" collapsed="false">
      <c r="A462" s="4" t="s">
        <v>291</v>
      </c>
      <c r="B462" s="31" t="n">
        <v>1001118</v>
      </c>
      <c r="C462" s="4" t="s">
        <v>920</v>
      </c>
      <c r="D462" s="4" t="s">
        <v>772</v>
      </c>
      <c r="E462" s="4" t="s">
        <v>281</v>
      </c>
      <c r="F462" s="32" t="n">
        <v>1</v>
      </c>
      <c r="G462" s="33"/>
      <c r="H462" s="4" t="s">
        <v>921</v>
      </c>
    </row>
    <row r="463" customFormat="false" ht="15" hidden="false" customHeight="false" outlineLevel="0" collapsed="false">
      <c r="A463" s="4" t="s">
        <v>291</v>
      </c>
      <c r="B463" s="31" t="n">
        <v>1010480</v>
      </c>
      <c r="C463" s="4" t="s">
        <v>922</v>
      </c>
      <c r="D463" s="4" t="s">
        <v>367</v>
      </c>
      <c r="E463" s="4" t="s">
        <v>85</v>
      </c>
      <c r="F463" s="32" t="n">
        <v>0.5</v>
      </c>
      <c r="G463" s="33"/>
      <c r="H463" s="4" t="s">
        <v>923</v>
      </c>
    </row>
    <row r="464" customFormat="false" ht="15" hidden="false" customHeight="false" outlineLevel="0" collapsed="false">
      <c r="A464" s="4" t="s">
        <v>291</v>
      </c>
      <c r="B464" s="31" t="n">
        <v>1001153</v>
      </c>
      <c r="C464" s="4" t="s">
        <v>924</v>
      </c>
      <c r="D464" s="4" t="s">
        <v>677</v>
      </c>
      <c r="E464" s="4" t="s">
        <v>281</v>
      </c>
      <c r="F464" s="32" t="n">
        <v>1</v>
      </c>
      <c r="G464" s="34" t="n">
        <v>1676212.584</v>
      </c>
      <c r="H464" s="4" t="s">
        <v>925</v>
      </c>
    </row>
    <row r="465" customFormat="false" ht="15" hidden="false" customHeight="false" outlineLevel="0" collapsed="false">
      <c r="A465" s="4" t="s">
        <v>291</v>
      </c>
      <c r="B465" s="31" t="n">
        <v>1001140</v>
      </c>
      <c r="C465" s="4" t="s">
        <v>926</v>
      </c>
      <c r="D465" s="4" t="s">
        <v>367</v>
      </c>
      <c r="E465" s="4" t="s">
        <v>281</v>
      </c>
      <c r="F465" s="32" t="n">
        <v>1</v>
      </c>
      <c r="G465" s="34" t="n">
        <v>748923.624</v>
      </c>
      <c r="H465" s="4" t="s">
        <v>925</v>
      </c>
    </row>
    <row r="466" customFormat="false" ht="15" hidden="false" customHeight="false" outlineLevel="0" collapsed="false">
      <c r="A466" s="4" t="s">
        <v>291</v>
      </c>
      <c r="B466" s="31" t="n">
        <v>1007432</v>
      </c>
      <c r="C466" s="4" t="s">
        <v>927</v>
      </c>
      <c r="D466" s="4" t="s">
        <v>675</v>
      </c>
      <c r="E466" s="4" t="s">
        <v>281</v>
      </c>
      <c r="F466" s="32" t="n">
        <v>1</v>
      </c>
      <c r="G466" s="33"/>
      <c r="H466" s="4" t="s">
        <v>928</v>
      </c>
    </row>
    <row r="467" customFormat="false" ht="15" hidden="false" customHeight="false" outlineLevel="0" collapsed="false">
      <c r="A467" s="4" t="s">
        <v>291</v>
      </c>
      <c r="B467" s="31" t="n">
        <v>1001763</v>
      </c>
      <c r="C467" s="4" t="s">
        <v>929</v>
      </c>
      <c r="D467" s="4" t="s">
        <v>407</v>
      </c>
      <c r="E467" s="4" t="s">
        <v>331</v>
      </c>
      <c r="F467" s="32" t="n">
        <v>0.51</v>
      </c>
      <c r="G467" s="33"/>
      <c r="H467" s="4" t="s">
        <v>930</v>
      </c>
    </row>
    <row r="468" customFormat="false" ht="15" hidden="false" customHeight="false" outlineLevel="0" collapsed="false">
      <c r="A468" s="4" t="s">
        <v>291</v>
      </c>
      <c r="B468" s="31" t="n">
        <v>1001015</v>
      </c>
      <c r="C468" s="4" t="s">
        <v>931</v>
      </c>
      <c r="D468" s="4" t="s">
        <v>772</v>
      </c>
      <c r="E468" s="4" t="s">
        <v>281</v>
      </c>
      <c r="F468" s="32" t="n">
        <v>0.72</v>
      </c>
      <c r="G468" s="33"/>
      <c r="H468" s="4" t="s">
        <v>932</v>
      </c>
    </row>
    <row r="469" customFormat="false" ht="15" hidden="false" customHeight="false" outlineLevel="0" collapsed="false">
      <c r="A469" s="4" t="s">
        <v>291</v>
      </c>
      <c r="B469" s="31" t="n">
        <v>1004163</v>
      </c>
      <c r="C469" s="4" t="s">
        <v>933</v>
      </c>
      <c r="D469" s="4" t="s">
        <v>375</v>
      </c>
      <c r="E469" s="4" t="s">
        <v>836</v>
      </c>
      <c r="F469" s="32" t="n">
        <v>1</v>
      </c>
      <c r="G469" s="34" t="n">
        <v>24070044.382</v>
      </c>
      <c r="H469" s="4" t="s">
        <v>925</v>
      </c>
    </row>
    <row r="470" customFormat="false" ht="15" hidden="false" customHeight="false" outlineLevel="0" collapsed="false">
      <c r="A470" s="4" t="s">
        <v>291</v>
      </c>
      <c r="B470" s="31" t="n">
        <v>1001414</v>
      </c>
      <c r="C470" s="4" t="s">
        <v>934</v>
      </c>
      <c r="D470" s="4" t="s">
        <v>367</v>
      </c>
      <c r="E470" s="4" t="s">
        <v>281</v>
      </c>
      <c r="F470" s="32" t="n">
        <v>1</v>
      </c>
      <c r="G470" s="34" t="n">
        <v>2996029.536</v>
      </c>
      <c r="H470" s="4" t="s">
        <v>925</v>
      </c>
    </row>
    <row r="471" customFormat="false" ht="15" hidden="false" customHeight="false" outlineLevel="0" collapsed="false">
      <c r="A471" s="4" t="s">
        <v>291</v>
      </c>
      <c r="B471" s="31" t="n">
        <v>1001135</v>
      </c>
      <c r="C471" s="4" t="s">
        <v>935</v>
      </c>
      <c r="D471" s="4" t="s">
        <v>367</v>
      </c>
      <c r="E471" s="4" t="s">
        <v>281</v>
      </c>
      <c r="F471" s="32" t="n">
        <v>1</v>
      </c>
      <c r="G471" s="34" t="n">
        <v>442377.612</v>
      </c>
      <c r="H471" s="4" t="s">
        <v>925</v>
      </c>
    </row>
    <row r="472" customFormat="false" ht="15" hidden="false" customHeight="false" outlineLevel="0" collapsed="false">
      <c r="A472" s="4" t="s">
        <v>291</v>
      </c>
      <c r="B472" s="31" t="n">
        <v>1007370</v>
      </c>
      <c r="C472" s="4" t="s">
        <v>889</v>
      </c>
      <c r="D472" s="4" t="s">
        <v>503</v>
      </c>
      <c r="E472" s="4" t="s">
        <v>281</v>
      </c>
      <c r="F472" s="32" t="n">
        <v>0.75</v>
      </c>
      <c r="G472" s="34" t="n">
        <v>5076457.858</v>
      </c>
      <c r="H472" s="4" t="s">
        <v>890</v>
      </c>
    </row>
    <row r="473" customFormat="false" ht="15" hidden="false" customHeight="false" outlineLevel="0" collapsed="false">
      <c r="A473" s="4" t="s">
        <v>291</v>
      </c>
      <c r="B473" s="31" t="n">
        <v>1012439</v>
      </c>
      <c r="C473" s="4" t="s">
        <v>936</v>
      </c>
      <c r="D473" s="4" t="s">
        <v>407</v>
      </c>
      <c r="E473" s="4" t="s">
        <v>85</v>
      </c>
      <c r="F473" s="32" t="n">
        <v>1</v>
      </c>
      <c r="G473" s="33"/>
      <c r="H473" s="4" t="s">
        <v>937</v>
      </c>
    </row>
    <row r="474" customFormat="false" ht="15" hidden="false" customHeight="false" outlineLevel="0" collapsed="false">
      <c r="A474" s="4" t="s">
        <v>291</v>
      </c>
      <c r="B474" s="31" t="n">
        <v>1007098</v>
      </c>
      <c r="C474" s="4" t="s">
        <v>938</v>
      </c>
      <c r="D474" s="4" t="s">
        <v>610</v>
      </c>
      <c r="E474" s="4" t="s">
        <v>939</v>
      </c>
      <c r="F474" s="32" t="n">
        <v>1</v>
      </c>
      <c r="G474" s="34" t="n">
        <v>523808.428</v>
      </c>
      <c r="H474" s="4" t="s">
        <v>940</v>
      </c>
    </row>
    <row r="475" customFormat="false" ht="15" hidden="false" customHeight="false" outlineLevel="0" collapsed="false">
      <c r="A475" s="4" t="s">
        <v>291</v>
      </c>
      <c r="B475" s="31" t="n">
        <v>1004840</v>
      </c>
      <c r="C475" s="4" t="s">
        <v>941</v>
      </c>
      <c r="D475" s="4" t="s">
        <v>942</v>
      </c>
      <c r="E475" s="4" t="s">
        <v>797</v>
      </c>
      <c r="F475" s="32" t="n">
        <v>1</v>
      </c>
      <c r="G475" s="34" t="n">
        <v>46237.738</v>
      </c>
      <c r="H475" s="4" t="s">
        <v>943</v>
      </c>
    </row>
    <row r="476" customFormat="false" ht="15" hidden="false" customHeight="false" outlineLevel="0" collapsed="false">
      <c r="A476" s="4" t="s">
        <v>291</v>
      </c>
      <c r="B476" s="31" t="n">
        <v>1001655</v>
      </c>
      <c r="C476" s="4" t="s">
        <v>944</v>
      </c>
      <c r="D476" s="4" t="s">
        <v>322</v>
      </c>
      <c r="E476" s="4" t="s">
        <v>85</v>
      </c>
      <c r="F476" s="32" t="n">
        <v>0.5</v>
      </c>
      <c r="G476" s="34" t="n">
        <v>28603.114</v>
      </c>
      <c r="H476" s="4" t="s">
        <v>923</v>
      </c>
    </row>
    <row r="477" customFormat="false" ht="15" hidden="false" customHeight="false" outlineLevel="0" collapsed="false">
      <c r="A477" s="4" t="s">
        <v>291</v>
      </c>
      <c r="B477" s="31" t="n">
        <v>1008250</v>
      </c>
      <c r="C477" s="4" t="s">
        <v>945</v>
      </c>
      <c r="D477" s="4" t="s">
        <v>772</v>
      </c>
      <c r="E477" s="4" t="s">
        <v>85</v>
      </c>
      <c r="F477" s="32" t="n">
        <v>0.5</v>
      </c>
      <c r="G477" s="34" t="n">
        <v>33000.794</v>
      </c>
      <c r="H477" s="4" t="s">
        <v>923</v>
      </c>
    </row>
    <row r="478" customFormat="false" ht="15" hidden="false" customHeight="false" outlineLevel="0" collapsed="false">
      <c r="A478" s="4" t="s">
        <v>291</v>
      </c>
      <c r="B478" s="31" t="n">
        <v>1000566</v>
      </c>
      <c r="C478" s="4" t="s">
        <v>946</v>
      </c>
      <c r="D478" s="4" t="s">
        <v>402</v>
      </c>
      <c r="E478" s="4" t="s">
        <v>281</v>
      </c>
      <c r="F478" s="32" t="n">
        <v>1</v>
      </c>
      <c r="G478" s="34" t="n">
        <v>58326.932</v>
      </c>
      <c r="H478" s="4" t="s">
        <v>947</v>
      </c>
    </row>
    <row r="479" customFormat="false" ht="15" hidden="false" customHeight="false" outlineLevel="0" collapsed="false">
      <c r="A479" s="4" t="s">
        <v>291</v>
      </c>
      <c r="B479" s="31" t="n">
        <v>1000068</v>
      </c>
      <c r="C479" s="4" t="s">
        <v>948</v>
      </c>
      <c r="D479" s="4" t="s">
        <v>949</v>
      </c>
      <c r="E479" s="4" t="s">
        <v>281</v>
      </c>
      <c r="F479" s="32" t="n">
        <v>1</v>
      </c>
      <c r="G479" s="34" t="n">
        <v>865093.544</v>
      </c>
      <c r="H479" s="4" t="s">
        <v>947</v>
      </c>
    </row>
    <row r="480" customFormat="false" ht="15" hidden="false" customHeight="false" outlineLevel="0" collapsed="false">
      <c r="A480" s="4" t="s">
        <v>291</v>
      </c>
      <c r="B480" s="31" t="n">
        <v>1001507</v>
      </c>
      <c r="C480" s="4" t="s">
        <v>950</v>
      </c>
      <c r="D480" s="4" t="s">
        <v>772</v>
      </c>
      <c r="E480" s="4" t="s">
        <v>281</v>
      </c>
      <c r="F480" s="32" t="n">
        <v>1</v>
      </c>
      <c r="G480" s="33"/>
      <c r="H480" s="4" t="s">
        <v>928</v>
      </c>
    </row>
    <row r="481" customFormat="false" ht="15" hidden="false" customHeight="false" outlineLevel="0" collapsed="false">
      <c r="A481" s="4" t="s">
        <v>291</v>
      </c>
      <c r="B481" s="31" t="n">
        <v>1002234</v>
      </c>
      <c r="C481" s="4" t="s">
        <v>951</v>
      </c>
      <c r="D481" s="4" t="s">
        <v>335</v>
      </c>
      <c r="E481" s="4" t="s">
        <v>797</v>
      </c>
      <c r="F481" s="32" t="n">
        <v>1</v>
      </c>
      <c r="G481" s="34" t="n">
        <v>73093.498</v>
      </c>
      <c r="H481" s="4" t="s">
        <v>952</v>
      </c>
    </row>
    <row r="482" customFormat="false" ht="15" hidden="false" customHeight="false" outlineLevel="0" collapsed="false">
      <c r="A482" s="4" t="s">
        <v>291</v>
      </c>
      <c r="B482" s="31" t="n">
        <v>1012015</v>
      </c>
      <c r="C482" s="4" t="s">
        <v>953</v>
      </c>
      <c r="D482" s="4" t="s">
        <v>772</v>
      </c>
      <c r="E482" s="4" t="s">
        <v>836</v>
      </c>
      <c r="F482" s="32" t="n">
        <v>1</v>
      </c>
      <c r="G482" s="34" t="n">
        <v>17460.09</v>
      </c>
      <c r="H482" s="4" t="s">
        <v>925</v>
      </c>
    </row>
    <row r="483" customFormat="false" ht="15" hidden="false" customHeight="false" outlineLevel="0" collapsed="false">
      <c r="A483" s="4" t="s">
        <v>291</v>
      </c>
      <c r="B483" s="31" t="n">
        <v>1001510</v>
      </c>
      <c r="C483" s="4" t="s">
        <v>954</v>
      </c>
      <c r="D483" s="4" t="s">
        <v>772</v>
      </c>
      <c r="E483" s="4" t="s">
        <v>281</v>
      </c>
      <c r="F483" s="32" t="n">
        <v>1</v>
      </c>
      <c r="G483" s="33"/>
      <c r="H483" s="4" t="s">
        <v>928</v>
      </c>
    </row>
    <row r="484" customFormat="false" ht="15" hidden="false" customHeight="false" outlineLevel="0" collapsed="false">
      <c r="A484" s="4" t="s">
        <v>291</v>
      </c>
      <c r="B484" s="31" t="n">
        <v>1001175</v>
      </c>
      <c r="C484" s="4" t="s">
        <v>955</v>
      </c>
      <c r="D484" s="4" t="s">
        <v>367</v>
      </c>
      <c r="E484" s="4" t="s">
        <v>281</v>
      </c>
      <c r="F484" s="32" t="n">
        <v>1</v>
      </c>
      <c r="G484" s="34" t="n">
        <v>2420044.832</v>
      </c>
      <c r="H484" s="4" t="s">
        <v>925</v>
      </c>
    </row>
    <row r="485" customFormat="false" ht="15" hidden="false" customHeight="false" outlineLevel="0" collapsed="false">
      <c r="A485" s="4" t="s">
        <v>291</v>
      </c>
      <c r="B485" s="31" t="n">
        <v>1010612</v>
      </c>
      <c r="C485" s="4" t="s">
        <v>956</v>
      </c>
      <c r="D485" s="4" t="s">
        <v>772</v>
      </c>
      <c r="E485" s="4" t="s">
        <v>281</v>
      </c>
      <c r="F485" s="32" t="n">
        <v>1</v>
      </c>
      <c r="G485" s="34" t="n">
        <v>3388643.992</v>
      </c>
      <c r="H485" s="4" t="s">
        <v>925</v>
      </c>
    </row>
    <row r="486" customFormat="false" ht="15" hidden="false" customHeight="false" outlineLevel="0" collapsed="false">
      <c r="A486" s="4" t="s">
        <v>291</v>
      </c>
      <c r="B486" s="31" t="n">
        <v>1012033</v>
      </c>
      <c r="C486" s="4" t="s">
        <v>957</v>
      </c>
      <c r="D486" s="4" t="s">
        <v>772</v>
      </c>
      <c r="E486" s="4" t="s">
        <v>836</v>
      </c>
      <c r="F486" s="32" t="n">
        <v>1</v>
      </c>
      <c r="G486" s="34" t="n">
        <v>18091.884</v>
      </c>
      <c r="H486" s="4" t="s">
        <v>925</v>
      </c>
    </row>
    <row r="487" customFormat="false" ht="15" hidden="false" customHeight="false" outlineLevel="0" collapsed="false">
      <c r="A487" s="4" t="s">
        <v>291</v>
      </c>
      <c r="B487" s="31" t="n">
        <v>1001413</v>
      </c>
      <c r="C487" s="4" t="s">
        <v>958</v>
      </c>
      <c r="D487" s="4" t="s">
        <v>367</v>
      </c>
      <c r="E487" s="4" t="s">
        <v>281</v>
      </c>
      <c r="F487" s="32" t="n">
        <v>1</v>
      </c>
      <c r="G487" s="33"/>
      <c r="H487" s="4" t="s">
        <v>925</v>
      </c>
    </row>
    <row r="488" customFormat="false" ht="15" hidden="false" customHeight="false" outlineLevel="0" collapsed="false">
      <c r="A488" s="4" t="s">
        <v>291</v>
      </c>
      <c r="B488" s="31" t="n">
        <v>1009338</v>
      </c>
      <c r="C488" s="4" t="s">
        <v>959</v>
      </c>
      <c r="D488" s="4" t="s">
        <v>367</v>
      </c>
      <c r="E488" s="4" t="s">
        <v>85</v>
      </c>
      <c r="F488" s="32" t="n">
        <v>0.5</v>
      </c>
      <c r="G488" s="34" t="n">
        <v>22742.924</v>
      </c>
      <c r="H488" s="4" t="s">
        <v>923</v>
      </c>
    </row>
    <row r="489" customFormat="false" ht="15" hidden="false" customHeight="false" outlineLevel="0" collapsed="false">
      <c r="A489" s="4" t="s">
        <v>291</v>
      </c>
      <c r="B489" s="31" t="n">
        <v>1001509</v>
      </c>
      <c r="C489" s="4" t="s">
        <v>960</v>
      </c>
      <c r="D489" s="4" t="s">
        <v>772</v>
      </c>
      <c r="E489" s="4" t="s">
        <v>281</v>
      </c>
      <c r="F489" s="32" t="n">
        <v>1</v>
      </c>
      <c r="G489" s="33"/>
      <c r="H489" s="4" t="s">
        <v>921</v>
      </c>
    </row>
    <row r="490" customFormat="false" ht="15" hidden="false" customHeight="false" outlineLevel="0" collapsed="false">
      <c r="A490" s="4" t="s">
        <v>291</v>
      </c>
      <c r="B490" s="31" t="n">
        <v>1006935</v>
      </c>
      <c r="C490" s="4" t="s">
        <v>961</v>
      </c>
      <c r="D490" s="4" t="s">
        <v>503</v>
      </c>
      <c r="E490" s="4" t="s">
        <v>281</v>
      </c>
      <c r="F490" s="32" t="n">
        <v>1</v>
      </c>
      <c r="G490" s="34" t="n">
        <v>3159040.484</v>
      </c>
      <c r="H490" s="4" t="s">
        <v>925</v>
      </c>
    </row>
    <row r="491" customFormat="false" ht="15" hidden="false" customHeight="false" outlineLevel="0" collapsed="false">
      <c r="A491" s="4" t="s">
        <v>291</v>
      </c>
      <c r="B491" s="31" t="n">
        <v>1000697</v>
      </c>
      <c r="C491" s="4" t="s">
        <v>962</v>
      </c>
      <c r="D491" s="4" t="s">
        <v>503</v>
      </c>
      <c r="E491" s="4" t="s">
        <v>281</v>
      </c>
      <c r="F491" s="32" t="n">
        <v>1</v>
      </c>
      <c r="G491" s="34" t="n">
        <v>400.3</v>
      </c>
      <c r="H491" s="4" t="s">
        <v>925</v>
      </c>
    </row>
    <row r="492" customFormat="false" ht="15" hidden="false" customHeight="false" outlineLevel="0" collapsed="false">
      <c r="A492" s="4" t="s">
        <v>291</v>
      </c>
      <c r="B492" s="31" t="n">
        <v>1000812</v>
      </c>
      <c r="C492" s="4" t="s">
        <v>963</v>
      </c>
      <c r="D492" s="4" t="s">
        <v>367</v>
      </c>
      <c r="E492" s="4" t="s">
        <v>281</v>
      </c>
      <c r="F492" s="32" t="n">
        <v>1</v>
      </c>
      <c r="G492" s="34" t="n">
        <v>26958.396</v>
      </c>
      <c r="H492" s="4" t="s">
        <v>925</v>
      </c>
    </row>
    <row r="493" customFormat="false" ht="15" hidden="false" customHeight="false" outlineLevel="0" collapsed="false">
      <c r="A493" s="4" t="s">
        <v>291</v>
      </c>
      <c r="B493" s="31" t="n">
        <v>1008243</v>
      </c>
      <c r="C493" s="4" t="s">
        <v>964</v>
      </c>
      <c r="D493" s="4" t="s">
        <v>322</v>
      </c>
      <c r="E493" s="4" t="s">
        <v>85</v>
      </c>
      <c r="F493" s="32" t="n">
        <v>0.5</v>
      </c>
      <c r="G493" s="33"/>
      <c r="H493" s="4" t="s">
        <v>923</v>
      </c>
    </row>
    <row r="494" customFormat="false" ht="15" hidden="false" customHeight="false" outlineLevel="0" collapsed="false">
      <c r="A494" s="4" t="s">
        <v>291</v>
      </c>
      <c r="B494" s="31" t="n">
        <v>1004180</v>
      </c>
      <c r="C494" s="4" t="s">
        <v>965</v>
      </c>
      <c r="D494" s="4" t="s">
        <v>966</v>
      </c>
      <c r="E494" s="4" t="s">
        <v>836</v>
      </c>
      <c r="F494" s="32" t="n">
        <v>1</v>
      </c>
      <c r="G494" s="34" t="n">
        <v>6075689.126</v>
      </c>
      <c r="H494" s="4" t="s">
        <v>925</v>
      </c>
    </row>
    <row r="495" customFormat="false" ht="15" hidden="false" customHeight="false" outlineLevel="0" collapsed="false">
      <c r="A495" s="4" t="s">
        <v>291</v>
      </c>
      <c r="B495" s="31" t="n">
        <v>1007572</v>
      </c>
      <c r="C495" s="4" t="s">
        <v>967</v>
      </c>
      <c r="D495" s="4" t="s">
        <v>641</v>
      </c>
      <c r="E495" s="4" t="s">
        <v>836</v>
      </c>
      <c r="F495" s="32" t="n">
        <v>1</v>
      </c>
      <c r="G495" s="34" t="n">
        <v>738650.3</v>
      </c>
      <c r="H495" s="4" t="s">
        <v>925</v>
      </c>
    </row>
    <row r="496" customFormat="false" ht="15" hidden="false" customHeight="false" outlineLevel="0" collapsed="false">
      <c r="A496" s="4" t="s">
        <v>291</v>
      </c>
      <c r="B496" s="31" t="n">
        <v>1004322</v>
      </c>
      <c r="C496" s="4" t="s">
        <v>968</v>
      </c>
      <c r="D496" s="4" t="s">
        <v>375</v>
      </c>
      <c r="E496" s="4" t="s">
        <v>836</v>
      </c>
      <c r="F496" s="32" t="n">
        <v>1</v>
      </c>
      <c r="G496" s="34" t="n">
        <v>30256.406</v>
      </c>
      <c r="H496" s="4" t="s">
        <v>925</v>
      </c>
    </row>
    <row r="497" customFormat="false" ht="15" hidden="false" customHeight="false" outlineLevel="0" collapsed="false">
      <c r="A497" s="4" t="s">
        <v>291</v>
      </c>
      <c r="B497" s="31" t="n">
        <v>1000364</v>
      </c>
      <c r="C497" s="4" t="s">
        <v>969</v>
      </c>
      <c r="D497" s="4" t="s">
        <v>367</v>
      </c>
      <c r="E497" s="4" t="s">
        <v>281</v>
      </c>
      <c r="F497" s="32" t="n">
        <v>1</v>
      </c>
      <c r="G497" s="34" t="n">
        <v>801002.394</v>
      </c>
      <c r="H497" s="4" t="s">
        <v>925</v>
      </c>
    </row>
    <row r="498" customFormat="false" ht="15" hidden="false" customHeight="false" outlineLevel="0" collapsed="false">
      <c r="A498" s="4" t="s">
        <v>291</v>
      </c>
      <c r="B498" s="31" t="n">
        <v>1001508</v>
      </c>
      <c r="C498" s="4" t="s">
        <v>970</v>
      </c>
      <c r="D498" s="4" t="s">
        <v>772</v>
      </c>
      <c r="E498" s="4" t="s">
        <v>281</v>
      </c>
      <c r="F498" s="32" t="n">
        <v>1</v>
      </c>
      <c r="G498" s="34" t="n">
        <v>6468268.932</v>
      </c>
      <c r="H498" s="4" t="s">
        <v>925</v>
      </c>
    </row>
    <row r="499" customFormat="false" ht="15" hidden="false" customHeight="false" outlineLevel="0" collapsed="false">
      <c r="A499" s="4" t="s">
        <v>291</v>
      </c>
      <c r="B499" s="31" t="n">
        <v>1001849</v>
      </c>
      <c r="C499" s="4" t="s">
        <v>971</v>
      </c>
      <c r="D499" s="4" t="s">
        <v>503</v>
      </c>
      <c r="E499" s="4" t="s">
        <v>85</v>
      </c>
      <c r="F499" s="32" t="n">
        <v>0.5</v>
      </c>
      <c r="G499" s="34" t="n">
        <v>65477.218</v>
      </c>
      <c r="H499" s="4" t="s">
        <v>923</v>
      </c>
    </row>
    <row r="500" customFormat="false" ht="15" hidden="false" customHeight="false" outlineLevel="0" collapsed="false">
      <c r="A500" s="4" t="s">
        <v>291</v>
      </c>
      <c r="B500" s="31" t="n">
        <v>1001696</v>
      </c>
      <c r="C500" s="4" t="s">
        <v>972</v>
      </c>
      <c r="D500" s="4" t="s">
        <v>634</v>
      </c>
      <c r="E500" s="4" t="s">
        <v>281</v>
      </c>
      <c r="F500" s="32" t="n">
        <v>1</v>
      </c>
      <c r="G500" s="33"/>
      <c r="H500" s="4" t="s">
        <v>973</v>
      </c>
    </row>
    <row r="501" customFormat="false" ht="15" hidden="false" customHeight="false" outlineLevel="0" collapsed="false">
      <c r="A501" s="4" t="s">
        <v>291</v>
      </c>
      <c r="B501" s="31" t="n">
        <v>1008652</v>
      </c>
      <c r="C501" s="4" t="s">
        <v>974</v>
      </c>
      <c r="D501" s="4" t="s">
        <v>375</v>
      </c>
      <c r="E501" s="4" t="s">
        <v>836</v>
      </c>
      <c r="F501" s="32" t="n">
        <v>1</v>
      </c>
      <c r="G501" s="34" t="n">
        <v>18300.24</v>
      </c>
      <c r="H501" s="4" t="s">
        <v>925</v>
      </c>
    </row>
    <row r="502" customFormat="false" ht="15" hidden="false" customHeight="false" outlineLevel="0" collapsed="false">
      <c r="A502" s="4" t="s">
        <v>291</v>
      </c>
      <c r="B502" s="31" t="n">
        <v>1011913</v>
      </c>
      <c r="C502" s="4" t="s">
        <v>975</v>
      </c>
      <c r="D502" s="4" t="s">
        <v>311</v>
      </c>
      <c r="E502" s="4" t="s">
        <v>328</v>
      </c>
      <c r="F502" s="32" t="n">
        <v>1</v>
      </c>
      <c r="G502" s="34" t="n">
        <v>271880.238</v>
      </c>
      <c r="H502" s="4" t="s">
        <v>976</v>
      </c>
    </row>
    <row r="503" customFormat="false" ht="15" hidden="false" customHeight="false" outlineLevel="0" collapsed="false">
      <c r="A503" s="4" t="s">
        <v>291</v>
      </c>
      <c r="B503" s="31" t="n">
        <v>1002572</v>
      </c>
      <c r="C503" s="4" t="s">
        <v>977</v>
      </c>
      <c r="D503" s="4" t="s">
        <v>348</v>
      </c>
      <c r="E503" s="4" t="s">
        <v>978</v>
      </c>
      <c r="F503" s="32" t="n">
        <v>1</v>
      </c>
      <c r="G503" s="33"/>
      <c r="H503" s="4" t="s">
        <v>979</v>
      </c>
    </row>
    <row r="504" customFormat="false" ht="15" hidden="false" customHeight="false" outlineLevel="0" collapsed="false">
      <c r="A504" s="4" t="s">
        <v>291</v>
      </c>
      <c r="B504" s="31" t="n">
        <v>1001946</v>
      </c>
      <c r="C504" s="4" t="s">
        <v>980</v>
      </c>
      <c r="D504" s="4" t="s">
        <v>407</v>
      </c>
      <c r="E504" s="4" t="s">
        <v>308</v>
      </c>
      <c r="F504" s="32" t="n">
        <v>0.51</v>
      </c>
      <c r="G504" s="33"/>
      <c r="H504" s="4" t="s">
        <v>930</v>
      </c>
    </row>
    <row r="505" customFormat="false" ht="15" hidden="false" customHeight="false" outlineLevel="0" collapsed="false">
      <c r="A505" s="4" t="s">
        <v>291</v>
      </c>
      <c r="B505" s="31" t="n">
        <v>1009585</v>
      </c>
      <c r="C505" s="4" t="s">
        <v>981</v>
      </c>
      <c r="D505" s="4" t="s">
        <v>772</v>
      </c>
      <c r="E505" s="4" t="s">
        <v>830</v>
      </c>
      <c r="F505" s="32" t="n">
        <v>1</v>
      </c>
      <c r="G505" s="34" t="n">
        <v>26719.7304</v>
      </c>
      <c r="H505" s="4" t="s">
        <v>925</v>
      </c>
    </row>
    <row r="506" customFormat="false" ht="15" hidden="false" customHeight="false" outlineLevel="0" collapsed="false">
      <c r="A506" s="4" t="s">
        <v>291</v>
      </c>
      <c r="B506" s="31" t="n">
        <v>1001947</v>
      </c>
      <c r="C506" s="4" t="s">
        <v>982</v>
      </c>
      <c r="D506" s="4" t="s">
        <v>407</v>
      </c>
      <c r="E506" s="4" t="s">
        <v>308</v>
      </c>
      <c r="F506" s="32" t="n">
        <v>0.51</v>
      </c>
      <c r="G506" s="33"/>
      <c r="H506" s="4" t="s">
        <v>983</v>
      </c>
    </row>
    <row r="507" customFormat="false" ht="15" hidden="false" customHeight="false" outlineLevel="0" collapsed="false">
      <c r="A507" s="4" t="s">
        <v>291</v>
      </c>
      <c r="B507" s="31" t="n">
        <v>1001412</v>
      </c>
      <c r="C507" s="4" t="s">
        <v>984</v>
      </c>
      <c r="D507" s="4" t="s">
        <v>367</v>
      </c>
      <c r="E507" s="4" t="s">
        <v>281</v>
      </c>
      <c r="F507" s="32" t="n">
        <v>1</v>
      </c>
      <c r="G507" s="34" t="n">
        <v>5007385.07</v>
      </c>
      <c r="H507" s="4" t="s">
        <v>925</v>
      </c>
    </row>
    <row r="508" customFormat="false" ht="15" hidden="false" customHeight="false" outlineLevel="0" collapsed="false">
      <c r="A508" s="4" t="s">
        <v>291</v>
      </c>
      <c r="B508" s="31" t="n">
        <v>1008370</v>
      </c>
      <c r="C508" s="4" t="s">
        <v>985</v>
      </c>
      <c r="D508" s="4" t="s">
        <v>367</v>
      </c>
      <c r="E508" s="4" t="s">
        <v>85</v>
      </c>
      <c r="F508" s="32" t="n">
        <v>0.5</v>
      </c>
      <c r="G508" s="34" t="n">
        <v>38671.112</v>
      </c>
      <c r="H508" s="4" t="s">
        <v>923</v>
      </c>
    </row>
    <row r="509" customFormat="false" ht="15" hidden="false" customHeight="false" outlineLevel="0" collapsed="false">
      <c r="A509" s="4" t="s">
        <v>291</v>
      </c>
      <c r="B509" s="31" t="n">
        <v>1009206</v>
      </c>
      <c r="C509" s="4" t="s">
        <v>986</v>
      </c>
      <c r="D509" s="4" t="s">
        <v>772</v>
      </c>
      <c r="E509" s="4" t="s">
        <v>85</v>
      </c>
      <c r="F509" s="32" t="n">
        <v>0.5</v>
      </c>
      <c r="G509" s="33"/>
      <c r="H509" s="4" t="s">
        <v>923</v>
      </c>
    </row>
    <row r="510" customFormat="false" ht="15" hidden="false" customHeight="false" outlineLevel="0" collapsed="false">
      <c r="A510" s="4" t="s">
        <v>291</v>
      </c>
      <c r="B510" s="31" t="n">
        <v>1014665</v>
      </c>
      <c r="C510" s="4" t="s">
        <v>987</v>
      </c>
      <c r="D510" s="4" t="s">
        <v>311</v>
      </c>
      <c r="E510" s="4" t="s">
        <v>331</v>
      </c>
      <c r="F510" s="32" t="n">
        <v>1</v>
      </c>
      <c r="G510" s="34" t="n">
        <v>87470.206</v>
      </c>
      <c r="H510" s="4" t="s">
        <v>976</v>
      </c>
    </row>
    <row r="511" customFormat="false" ht="15" hidden="false" customHeight="false" outlineLevel="0" collapsed="false">
      <c r="A511" s="4" t="s">
        <v>291</v>
      </c>
      <c r="B511" s="31" t="n">
        <v>1011983</v>
      </c>
      <c r="C511" s="4" t="s">
        <v>988</v>
      </c>
      <c r="D511" s="4" t="s">
        <v>407</v>
      </c>
      <c r="E511" s="4" t="s">
        <v>331</v>
      </c>
      <c r="F511" s="32" t="n">
        <v>0.51</v>
      </c>
      <c r="G511" s="33"/>
      <c r="H511" s="4" t="s">
        <v>930</v>
      </c>
    </row>
    <row r="512" customFormat="false" ht="15" hidden="false" customHeight="false" outlineLevel="0" collapsed="false">
      <c r="A512" s="4" t="s">
        <v>291</v>
      </c>
      <c r="B512" s="31" t="n">
        <v>1007227</v>
      </c>
      <c r="C512" s="4" t="s">
        <v>989</v>
      </c>
      <c r="D512" s="4" t="s">
        <v>367</v>
      </c>
      <c r="E512" s="4" t="s">
        <v>281</v>
      </c>
      <c r="F512" s="32" t="n">
        <v>0.9592</v>
      </c>
      <c r="G512" s="34" t="n">
        <v>16558380.818</v>
      </c>
      <c r="H512" s="4" t="s">
        <v>990</v>
      </c>
    </row>
    <row r="513" customFormat="false" ht="15" hidden="false" customHeight="false" outlineLevel="0" collapsed="false">
      <c r="A513" s="4" t="s">
        <v>291</v>
      </c>
      <c r="B513" s="31" t="n">
        <v>1001024</v>
      </c>
      <c r="C513" s="4" t="s">
        <v>991</v>
      </c>
      <c r="D513" s="4" t="s">
        <v>610</v>
      </c>
      <c r="E513" s="4" t="s">
        <v>281</v>
      </c>
      <c r="F513" s="32" t="n">
        <v>0.1559</v>
      </c>
      <c r="G513" s="34" t="n">
        <v>7177184.032</v>
      </c>
      <c r="H513" s="4" t="s">
        <v>992</v>
      </c>
    </row>
    <row r="514" customFormat="false" ht="15" hidden="false" customHeight="false" outlineLevel="0" collapsed="false">
      <c r="A514" s="4" t="s">
        <v>291</v>
      </c>
      <c r="B514" s="31" t="n">
        <v>1001392</v>
      </c>
      <c r="C514" s="4" t="s">
        <v>993</v>
      </c>
      <c r="D514" s="4" t="s">
        <v>772</v>
      </c>
      <c r="E514" s="4" t="s">
        <v>281</v>
      </c>
      <c r="F514" s="32" t="n">
        <v>1</v>
      </c>
      <c r="G514" s="34" t="n">
        <v>122187.54</v>
      </c>
      <c r="H514" s="4" t="s">
        <v>925</v>
      </c>
    </row>
    <row r="515" customFormat="false" ht="15" hidden="false" customHeight="false" outlineLevel="0" collapsed="false">
      <c r="A515" s="4" t="s">
        <v>291</v>
      </c>
      <c r="B515" s="31" t="n">
        <v>1012259</v>
      </c>
      <c r="C515" s="4" t="s">
        <v>994</v>
      </c>
      <c r="D515" s="4" t="s">
        <v>311</v>
      </c>
      <c r="E515" s="4" t="s">
        <v>85</v>
      </c>
      <c r="F515" s="32" t="n">
        <v>0.5</v>
      </c>
      <c r="G515" s="34" t="n">
        <v>115118.1</v>
      </c>
      <c r="H515" s="4" t="s">
        <v>923</v>
      </c>
    </row>
    <row r="516" customFormat="false" ht="15" hidden="false" customHeight="false" outlineLevel="0" collapsed="false">
      <c r="A516" s="4" t="s">
        <v>291</v>
      </c>
      <c r="B516" s="31" t="n">
        <v>1000696</v>
      </c>
      <c r="C516" s="4" t="s">
        <v>995</v>
      </c>
      <c r="D516" s="4" t="s">
        <v>503</v>
      </c>
      <c r="E516" s="4" t="s">
        <v>281</v>
      </c>
      <c r="F516" s="32" t="n">
        <v>1</v>
      </c>
      <c r="G516" s="34" t="n">
        <v>792226.382</v>
      </c>
      <c r="H516" s="4" t="s">
        <v>925</v>
      </c>
    </row>
    <row r="517" customFormat="false" ht="15" hidden="false" customHeight="false" outlineLevel="0" collapsed="false">
      <c r="A517" s="4" t="s">
        <v>291</v>
      </c>
      <c r="B517" s="31" t="n">
        <v>1012984</v>
      </c>
      <c r="C517" s="4" t="s">
        <v>996</v>
      </c>
      <c r="D517" s="4" t="s">
        <v>503</v>
      </c>
      <c r="E517" s="4" t="s">
        <v>331</v>
      </c>
      <c r="F517" s="32" t="n">
        <v>1</v>
      </c>
      <c r="G517" s="34" t="n">
        <v>81582.48</v>
      </c>
      <c r="H517" s="4" t="s">
        <v>997</v>
      </c>
    </row>
    <row r="518" customFormat="false" ht="15" hidden="false" customHeight="false" outlineLevel="0" collapsed="false">
      <c r="A518" s="4" t="s">
        <v>291</v>
      </c>
      <c r="B518" s="31" t="n">
        <v>1001511</v>
      </c>
      <c r="C518" s="4" t="s">
        <v>998</v>
      </c>
      <c r="D518" s="4" t="s">
        <v>772</v>
      </c>
      <c r="E518" s="4" t="s">
        <v>281</v>
      </c>
      <c r="F518" s="32" t="n">
        <v>1</v>
      </c>
      <c r="G518" s="34" t="n">
        <v>1306893.408</v>
      </c>
      <c r="H518" s="4" t="s">
        <v>925</v>
      </c>
    </row>
    <row r="519" customFormat="false" ht="15" hidden="false" customHeight="false" outlineLevel="0" collapsed="false">
      <c r="A519" s="4" t="s">
        <v>291</v>
      </c>
      <c r="B519" s="31" t="n">
        <v>1010491</v>
      </c>
      <c r="C519" s="4" t="s">
        <v>999</v>
      </c>
      <c r="D519" s="4" t="s">
        <v>367</v>
      </c>
      <c r="E519" s="4" t="s">
        <v>85</v>
      </c>
      <c r="F519" s="32" t="n">
        <v>0.5</v>
      </c>
      <c r="G519" s="34" t="n">
        <v>11252.37</v>
      </c>
      <c r="H519" s="4" t="s">
        <v>923</v>
      </c>
    </row>
    <row r="520" customFormat="false" ht="15" hidden="false" customHeight="false" outlineLevel="0" collapsed="false">
      <c r="A520" s="4" t="s">
        <v>291</v>
      </c>
      <c r="B520" s="31" t="n">
        <v>1010949</v>
      </c>
      <c r="C520" s="4" t="s">
        <v>1000</v>
      </c>
      <c r="D520" s="4" t="s">
        <v>503</v>
      </c>
      <c r="E520" s="4" t="s">
        <v>281</v>
      </c>
      <c r="F520" s="32" t="n">
        <v>1</v>
      </c>
      <c r="G520" s="34" t="n">
        <v>1401440.056</v>
      </c>
      <c r="H520" s="4" t="s">
        <v>925</v>
      </c>
    </row>
    <row r="521" customFormat="false" ht="15" hidden="false" customHeight="false" outlineLevel="0" collapsed="false">
      <c r="A521" s="4" t="s">
        <v>291</v>
      </c>
      <c r="B521" s="31" t="n">
        <v>1001857</v>
      </c>
      <c r="C521" s="4" t="s">
        <v>1001</v>
      </c>
      <c r="D521" s="4" t="s">
        <v>503</v>
      </c>
      <c r="E521" s="4" t="s">
        <v>85</v>
      </c>
      <c r="F521" s="32" t="n">
        <v>0.5</v>
      </c>
      <c r="G521" s="33"/>
      <c r="H521" s="4" t="s">
        <v>923</v>
      </c>
    </row>
    <row r="522" customFormat="false" ht="15" hidden="false" customHeight="false" outlineLevel="0" collapsed="false">
      <c r="A522" s="4" t="s">
        <v>291</v>
      </c>
      <c r="B522" s="31" t="n">
        <v>1001656</v>
      </c>
      <c r="C522" s="4" t="s">
        <v>1002</v>
      </c>
      <c r="D522" s="4" t="s">
        <v>503</v>
      </c>
      <c r="E522" s="4" t="s">
        <v>85</v>
      </c>
      <c r="F522" s="32" t="n">
        <v>0.5</v>
      </c>
      <c r="G522" s="34" t="n">
        <v>92963.492</v>
      </c>
      <c r="H522" s="4" t="s">
        <v>923</v>
      </c>
    </row>
    <row r="523" customFormat="false" ht="15" hidden="false" customHeight="false" outlineLevel="0" collapsed="false">
      <c r="A523" s="4" t="s">
        <v>291</v>
      </c>
      <c r="B523" s="31" t="n">
        <v>1008226</v>
      </c>
      <c r="C523" s="4" t="s">
        <v>1003</v>
      </c>
      <c r="D523" s="4" t="s">
        <v>772</v>
      </c>
      <c r="E523" s="4" t="s">
        <v>85</v>
      </c>
      <c r="F523" s="32" t="n">
        <v>0.5</v>
      </c>
      <c r="G523" s="34" t="n">
        <v>31742.904</v>
      </c>
      <c r="H523" s="4" t="s">
        <v>923</v>
      </c>
    </row>
    <row r="524" customFormat="false" ht="15" hidden="false" customHeight="false" outlineLevel="0" collapsed="false">
      <c r="A524" s="4" t="s">
        <v>291</v>
      </c>
      <c r="B524" s="31" t="n">
        <v>1001530</v>
      </c>
      <c r="C524" s="4" t="s">
        <v>1004</v>
      </c>
      <c r="D524" s="4" t="s">
        <v>375</v>
      </c>
      <c r="E524" s="4" t="s">
        <v>281</v>
      </c>
      <c r="F524" s="32" t="n">
        <v>1</v>
      </c>
      <c r="G524" s="34" t="n">
        <v>1047163.912</v>
      </c>
      <c r="H524" s="4" t="s">
        <v>1005</v>
      </c>
    </row>
    <row r="525" customFormat="false" ht="15" hidden="false" customHeight="false" outlineLevel="0" collapsed="false">
      <c r="A525" s="4" t="s">
        <v>291</v>
      </c>
      <c r="B525" s="31" t="n">
        <v>1001760</v>
      </c>
      <c r="C525" s="4" t="s">
        <v>1006</v>
      </c>
      <c r="D525" s="4" t="s">
        <v>407</v>
      </c>
      <c r="E525" s="4" t="s">
        <v>331</v>
      </c>
      <c r="F525" s="32" t="n">
        <v>0.51</v>
      </c>
      <c r="G525" s="34" t="n">
        <v>333442.368</v>
      </c>
      <c r="H525" s="4" t="s">
        <v>930</v>
      </c>
    </row>
    <row r="526" customFormat="false" ht="15" hidden="false" customHeight="false" outlineLevel="0" collapsed="false">
      <c r="A526" s="4" t="s">
        <v>291</v>
      </c>
      <c r="B526" s="31" t="n">
        <v>1003896</v>
      </c>
      <c r="C526" s="4" t="s">
        <v>1007</v>
      </c>
      <c r="D526" s="4" t="s">
        <v>407</v>
      </c>
      <c r="E526" s="4" t="s">
        <v>836</v>
      </c>
      <c r="F526" s="32" t="n">
        <v>1</v>
      </c>
      <c r="G526" s="33"/>
      <c r="H526" s="4" t="s">
        <v>1008</v>
      </c>
    </row>
    <row r="527" customFormat="false" ht="15" hidden="false" customHeight="false" outlineLevel="0" collapsed="false">
      <c r="A527" s="4" t="s">
        <v>291</v>
      </c>
      <c r="B527" s="31" t="n">
        <v>1008249</v>
      </c>
      <c r="C527" s="4" t="s">
        <v>1009</v>
      </c>
      <c r="D527" s="4" t="s">
        <v>367</v>
      </c>
      <c r="E527" s="4" t="s">
        <v>85</v>
      </c>
      <c r="F527" s="32" t="n">
        <v>0.5</v>
      </c>
      <c r="G527" s="34" t="n">
        <v>17574.046</v>
      </c>
      <c r="H527" s="4" t="s">
        <v>923</v>
      </c>
    </row>
    <row r="528" customFormat="false" ht="15" hidden="false" customHeight="false" outlineLevel="0" collapsed="false">
      <c r="A528" s="4" t="s">
        <v>291</v>
      </c>
      <c r="B528" s="31" t="n">
        <v>1009838</v>
      </c>
      <c r="C528" s="4" t="s">
        <v>1010</v>
      </c>
      <c r="D528" s="4" t="s">
        <v>503</v>
      </c>
      <c r="E528" s="4" t="s">
        <v>1011</v>
      </c>
      <c r="F528" s="32" t="n">
        <v>1</v>
      </c>
      <c r="G528" s="34" t="n">
        <v>32573.368</v>
      </c>
      <c r="H528" s="4" t="s">
        <v>1012</v>
      </c>
    </row>
    <row r="529" customFormat="false" ht="15" hidden="false" customHeight="false" outlineLevel="0" collapsed="false">
      <c r="A529" s="4" t="s">
        <v>291</v>
      </c>
      <c r="B529" s="31" t="n">
        <v>1005963</v>
      </c>
      <c r="C529" s="4" t="s">
        <v>1013</v>
      </c>
      <c r="D529" s="4" t="s">
        <v>407</v>
      </c>
      <c r="E529" s="4" t="s">
        <v>331</v>
      </c>
      <c r="F529" s="32" t="n">
        <v>1</v>
      </c>
      <c r="G529" s="34" t="n">
        <v>122514.438</v>
      </c>
      <c r="H529" s="4" t="s">
        <v>937</v>
      </c>
    </row>
    <row r="530" customFormat="false" ht="15" hidden="false" customHeight="false" outlineLevel="0" collapsed="false">
      <c r="A530" s="4" t="s">
        <v>291</v>
      </c>
      <c r="B530" s="31" t="n">
        <v>1001081</v>
      </c>
      <c r="C530" s="4" t="s">
        <v>1014</v>
      </c>
      <c r="D530" s="4" t="s">
        <v>1015</v>
      </c>
      <c r="E530" s="4" t="s">
        <v>836</v>
      </c>
      <c r="F530" s="32" t="n">
        <v>1</v>
      </c>
      <c r="G530" s="33"/>
      <c r="H530" s="4" t="s">
        <v>1016</v>
      </c>
    </row>
    <row r="531" customFormat="false" ht="15" hidden="false" customHeight="false" outlineLevel="0" collapsed="false">
      <c r="A531" s="4" t="s">
        <v>291</v>
      </c>
      <c r="B531" s="31" t="n">
        <v>1001051</v>
      </c>
      <c r="C531" s="4" t="s">
        <v>909</v>
      </c>
      <c r="D531" s="4" t="s">
        <v>772</v>
      </c>
      <c r="E531" s="4" t="s">
        <v>281</v>
      </c>
      <c r="F531" s="32" t="n">
        <v>0.306</v>
      </c>
      <c r="G531" s="34" t="n">
        <v>7612538.87</v>
      </c>
      <c r="H531" s="4" t="s">
        <v>910</v>
      </c>
    </row>
    <row r="532" customFormat="false" ht="15" hidden="false" customHeight="false" outlineLevel="0" collapsed="false">
      <c r="A532" s="4" t="s">
        <v>291</v>
      </c>
      <c r="B532" s="31" t="n">
        <v>1005864</v>
      </c>
      <c r="C532" s="4" t="s">
        <v>1017</v>
      </c>
      <c r="D532" s="4" t="s">
        <v>402</v>
      </c>
      <c r="E532" s="4" t="s">
        <v>939</v>
      </c>
      <c r="F532" s="32" t="n">
        <v>1</v>
      </c>
      <c r="G532" s="34" t="n">
        <v>66024.778</v>
      </c>
      <c r="H532" s="4" t="s">
        <v>940</v>
      </c>
    </row>
    <row r="533" customFormat="false" ht="15" hidden="false" customHeight="false" outlineLevel="0" collapsed="false">
      <c r="A533" s="4" t="s">
        <v>291</v>
      </c>
      <c r="B533" s="31" t="n">
        <v>1000819</v>
      </c>
      <c r="C533" s="4" t="s">
        <v>1018</v>
      </c>
      <c r="D533" s="4" t="s">
        <v>367</v>
      </c>
      <c r="E533" s="4" t="s">
        <v>281</v>
      </c>
      <c r="F533" s="32" t="n">
        <v>1</v>
      </c>
      <c r="G533" s="34" t="n">
        <v>1918312.84</v>
      </c>
      <c r="H533" s="4" t="s">
        <v>925</v>
      </c>
    </row>
    <row r="534" customFormat="false" ht="15" hidden="false" customHeight="false" outlineLevel="0" collapsed="false">
      <c r="A534" s="4" t="s">
        <v>291</v>
      </c>
      <c r="B534" s="31" t="n">
        <v>1012454</v>
      </c>
      <c r="C534" s="4" t="s">
        <v>1019</v>
      </c>
      <c r="D534" s="4" t="s">
        <v>407</v>
      </c>
      <c r="E534" s="4" t="s">
        <v>308</v>
      </c>
      <c r="F534" s="32" t="n">
        <v>1</v>
      </c>
      <c r="G534" s="33"/>
      <c r="H534" s="4" t="s">
        <v>937</v>
      </c>
    </row>
    <row r="535" customFormat="false" ht="15" hidden="false" customHeight="false" outlineLevel="0" collapsed="false">
      <c r="A535" s="4" t="s">
        <v>291</v>
      </c>
      <c r="B535" s="31" t="n">
        <v>1001927</v>
      </c>
      <c r="C535" s="4" t="s">
        <v>1020</v>
      </c>
      <c r="D535" s="4" t="s">
        <v>503</v>
      </c>
      <c r="E535" s="4" t="s">
        <v>85</v>
      </c>
      <c r="F535" s="32" t="n">
        <v>0.5</v>
      </c>
      <c r="G535" s="34" t="n">
        <v>23359.122</v>
      </c>
      <c r="H535" s="4" t="s">
        <v>923</v>
      </c>
    </row>
    <row r="536" customFormat="false" ht="15" hidden="false" customHeight="false" outlineLevel="0" collapsed="false">
      <c r="A536" s="4" t="s">
        <v>291</v>
      </c>
      <c r="B536" s="31" t="n">
        <v>1000079</v>
      </c>
      <c r="C536" s="4" t="s">
        <v>1021</v>
      </c>
      <c r="D536" s="4" t="s">
        <v>375</v>
      </c>
      <c r="E536" s="4" t="s">
        <v>1022</v>
      </c>
      <c r="F536" s="32" t="n">
        <v>1</v>
      </c>
      <c r="G536" s="34" t="n">
        <v>121829.162</v>
      </c>
      <c r="H536" s="4" t="s">
        <v>1023</v>
      </c>
    </row>
    <row r="537" customFormat="false" ht="15" hidden="false" customHeight="false" outlineLevel="0" collapsed="false">
      <c r="A537" s="4" t="s">
        <v>291</v>
      </c>
      <c r="B537" s="31" t="n">
        <v>1009889</v>
      </c>
      <c r="C537" s="4" t="s">
        <v>1024</v>
      </c>
      <c r="D537" s="4" t="s">
        <v>772</v>
      </c>
      <c r="E537" s="4" t="s">
        <v>85</v>
      </c>
      <c r="F537" s="32" t="n">
        <v>0.5</v>
      </c>
      <c r="G537" s="33"/>
      <c r="H537" s="4" t="s">
        <v>923</v>
      </c>
    </row>
    <row r="538" customFormat="false" ht="15" hidden="false" customHeight="false" outlineLevel="0" collapsed="false">
      <c r="A538" s="4" t="s">
        <v>291</v>
      </c>
      <c r="B538" s="31" t="n">
        <v>1001759</v>
      </c>
      <c r="C538" s="4" t="s">
        <v>1025</v>
      </c>
      <c r="D538" s="4" t="s">
        <v>407</v>
      </c>
      <c r="E538" s="4" t="s">
        <v>331</v>
      </c>
      <c r="F538" s="32" t="n">
        <v>0.51</v>
      </c>
      <c r="G538" s="33"/>
      <c r="H538" s="4" t="s">
        <v>930</v>
      </c>
    </row>
    <row r="539" customFormat="false" ht="15" hidden="false" customHeight="false" outlineLevel="0" collapsed="false">
      <c r="A539" s="4" t="s">
        <v>291</v>
      </c>
      <c r="B539" s="31" t="n">
        <v>1001926</v>
      </c>
      <c r="C539" s="4" t="s">
        <v>1026</v>
      </c>
      <c r="D539" s="4" t="s">
        <v>772</v>
      </c>
      <c r="E539" s="4" t="s">
        <v>85</v>
      </c>
      <c r="F539" s="32" t="n">
        <v>0.5</v>
      </c>
      <c r="G539" s="34" t="n">
        <v>62352.264</v>
      </c>
      <c r="H539" s="4" t="s">
        <v>923</v>
      </c>
    </row>
    <row r="540" customFormat="false" ht="15" hidden="false" customHeight="false" outlineLevel="0" collapsed="false">
      <c r="A540" s="4" t="s">
        <v>291</v>
      </c>
      <c r="B540" s="31" t="n">
        <v>1009848</v>
      </c>
      <c r="C540" s="4" t="s">
        <v>1027</v>
      </c>
      <c r="D540" s="4" t="s">
        <v>311</v>
      </c>
      <c r="E540" s="4" t="s">
        <v>331</v>
      </c>
      <c r="F540" s="32" t="n">
        <v>1</v>
      </c>
      <c r="G540" s="34" t="n">
        <v>109449.518</v>
      </c>
      <c r="H540" s="4" t="s">
        <v>976</v>
      </c>
    </row>
    <row r="541" customFormat="false" ht="15" hidden="false" customHeight="false" outlineLevel="0" collapsed="false">
      <c r="A541" s="4" t="s">
        <v>291</v>
      </c>
      <c r="B541" s="31" t="n">
        <v>1001163</v>
      </c>
      <c r="C541" s="4" t="s">
        <v>1028</v>
      </c>
      <c r="D541" s="4" t="s">
        <v>367</v>
      </c>
      <c r="E541" s="4" t="s">
        <v>281</v>
      </c>
      <c r="F541" s="32" t="n">
        <v>1</v>
      </c>
      <c r="G541" s="34" t="n">
        <v>5078422.232</v>
      </c>
      <c r="H541" s="4" t="s">
        <v>925</v>
      </c>
    </row>
    <row r="542" customFormat="false" ht="15" hidden="false" customHeight="false" outlineLevel="0" collapsed="false">
      <c r="A542" s="4" t="s">
        <v>291</v>
      </c>
      <c r="B542" s="31" t="n">
        <v>1006574</v>
      </c>
      <c r="C542" s="4" t="s">
        <v>1029</v>
      </c>
      <c r="D542" s="4" t="s">
        <v>772</v>
      </c>
      <c r="E542" s="4" t="s">
        <v>281</v>
      </c>
      <c r="F542" s="32" t="n">
        <v>1</v>
      </c>
      <c r="G542" s="33"/>
      <c r="H542" s="4" t="s">
        <v>928</v>
      </c>
    </row>
    <row r="543" customFormat="false" ht="15" hidden="false" customHeight="false" outlineLevel="0" collapsed="false">
      <c r="A543" s="4" t="s">
        <v>291</v>
      </c>
      <c r="B543" s="31" t="n">
        <v>1010492</v>
      </c>
      <c r="C543" s="4" t="s">
        <v>1030</v>
      </c>
      <c r="D543" s="4" t="s">
        <v>367</v>
      </c>
      <c r="E543" s="4" t="s">
        <v>85</v>
      </c>
      <c r="F543" s="32" t="n">
        <v>0.5</v>
      </c>
      <c r="G543" s="34" t="n">
        <v>37773.818</v>
      </c>
      <c r="H543" s="4" t="s">
        <v>923</v>
      </c>
    </row>
    <row r="544" customFormat="false" ht="15" hidden="false" customHeight="false" outlineLevel="0" collapsed="false">
      <c r="A544" s="4" t="s">
        <v>291</v>
      </c>
      <c r="B544" s="31" t="n">
        <v>1007872</v>
      </c>
      <c r="C544" s="4" t="s">
        <v>1031</v>
      </c>
      <c r="D544" s="4" t="s">
        <v>772</v>
      </c>
      <c r="E544" s="4" t="s">
        <v>836</v>
      </c>
      <c r="F544" s="32" t="n">
        <v>1</v>
      </c>
      <c r="G544" s="34" t="n">
        <v>11749151.556</v>
      </c>
      <c r="H544" s="4" t="s">
        <v>925</v>
      </c>
    </row>
    <row r="545" customFormat="false" ht="15" hidden="false" customHeight="false" outlineLevel="0" collapsed="false">
      <c r="A545" s="4" t="s">
        <v>291</v>
      </c>
      <c r="B545" s="31" t="n">
        <v>1001654</v>
      </c>
      <c r="C545" s="4" t="s">
        <v>1032</v>
      </c>
      <c r="D545" s="4" t="s">
        <v>503</v>
      </c>
      <c r="E545" s="4" t="s">
        <v>85</v>
      </c>
      <c r="F545" s="32" t="n">
        <v>0.5</v>
      </c>
      <c r="G545" s="34" t="n">
        <v>61719.14</v>
      </c>
      <c r="H545" s="4" t="s">
        <v>923</v>
      </c>
    </row>
    <row r="546" customFormat="false" ht="15" hidden="false" customHeight="false" outlineLevel="0" collapsed="false">
      <c r="A546" s="4" t="s">
        <v>291</v>
      </c>
      <c r="B546" s="31" t="n">
        <v>1009337</v>
      </c>
      <c r="C546" s="4" t="s">
        <v>1033</v>
      </c>
      <c r="D546" s="4" t="s">
        <v>503</v>
      </c>
      <c r="E546" s="4" t="s">
        <v>85</v>
      </c>
      <c r="F546" s="32" t="n">
        <v>0.5</v>
      </c>
      <c r="G546" s="34" t="n">
        <v>17882.4</v>
      </c>
      <c r="H546" s="4" t="s">
        <v>923</v>
      </c>
    </row>
    <row r="547" customFormat="false" ht="15" hidden="false" customHeight="false" outlineLevel="0" collapsed="false">
      <c r="A547" s="4" t="s">
        <v>291</v>
      </c>
      <c r="B547" s="31" t="n">
        <v>1000460</v>
      </c>
      <c r="C547" s="4" t="s">
        <v>1034</v>
      </c>
      <c r="D547" s="4" t="s">
        <v>772</v>
      </c>
      <c r="E547" s="4" t="s">
        <v>281</v>
      </c>
      <c r="F547" s="32" t="n">
        <v>1</v>
      </c>
      <c r="G547" s="34" t="n">
        <v>3478991.696</v>
      </c>
      <c r="H547" s="4" t="s">
        <v>925</v>
      </c>
    </row>
    <row r="548" customFormat="false" ht="15" hidden="false" customHeight="false" outlineLevel="0" collapsed="false">
      <c r="A548" s="4" t="s">
        <v>291</v>
      </c>
      <c r="B548" s="31" t="n">
        <v>1006519</v>
      </c>
      <c r="C548" s="4" t="s">
        <v>1035</v>
      </c>
      <c r="D548" s="4" t="s">
        <v>407</v>
      </c>
      <c r="E548" s="4" t="s">
        <v>331</v>
      </c>
      <c r="F548" s="32" t="n">
        <v>1</v>
      </c>
      <c r="G548" s="33"/>
      <c r="H548" s="4" t="s">
        <v>937</v>
      </c>
    </row>
    <row r="549" customFormat="false" ht="15" hidden="false" customHeight="false" outlineLevel="0" collapsed="false">
      <c r="A549" s="4" t="s">
        <v>291</v>
      </c>
      <c r="B549" s="31" t="n">
        <v>1000698</v>
      </c>
      <c r="C549" s="4" t="s">
        <v>1036</v>
      </c>
      <c r="D549" s="4" t="s">
        <v>503</v>
      </c>
      <c r="E549" s="4" t="s">
        <v>281</v>
      </c>
      <c r="F549" s="32" t="n">
        <v>1</v>
      </c>
      <c r="G549" s="34" t="n">
        <v>1839378.232</v>
      </c>
      <c r="H549" s="4" t="s">
        <v>925</v>
      </c>
    </row>
    <row r="550" customFormat="false" ht="15" hidden="false" customHeight="false" outlineLevel="0" collapsed="false">
      <c r="A550" s="4" t="s">
        <v>291</v>
      </c>
      <c r="B550" s="31" t="n">
        <v>1001505</v>
      </c>
      <c r="C550" s="4" t="s">
        <v>1037</v>
      </c>
      <c r="D550" s="4" t="s">
        <v>772</v>
      </c>
      <c r="E550" s="4" t="s">
        <v>281</v>
      </c>
      <c r="F550" s="32" t="n">
        <v>1</v>
      </c>
      <c r="G550" s="34" t="n">
        <v>10223192.838</v>
      </c>
      <c r="H550" s="4" t="s">
        <v>925</v>
      </c>
    </row>
    <row r="551" customFormat="false" ht="15" hidden="false" customHeight="false" outlineLevel="0" collapsed="false">
      <c r="A551" s="4" t="s">
        <v>291</v>
      </c>
      <c r="B551" s="31" t="n">
        <v>1002501</v>
      </c>
      <c r="C551" s="4" t="s">
        <v>1038</v>
      </c>
      <c r="D551" s="4" t="s">
        <v>367</v>
      </c>
      <c r="E551" s="4" t="s">
        <v>838</v>
      </c>
      <c r="F551" s="32" t="n">
        <v>1</v>
      </c>
      <c r="G551" s="33"/>
      <c r="H551" s="4" t="s">
        <v>921</v>
      </c>
    </row>
    <row r="552" customFormat="false" ht="15" hidden="false" customHeight="false" outlineLevel="0" collapsed="false">
      <c r="A552" s="4" t="s">
        <v>291</v>
      </c>
      <c r="B552" s="31" t="n">
        <v>1000457</v>
      </c>
      <c r="C552" s="4" t="s">
        <v>1039</v>
      </c>
      <c r="D552" s="4" t="s">
        <v>402</v>
      </c>
      <c r="E552" s="4" t="s">
        <v>281</v>
      </c>
      <c r="F552" s="32" t="n">
        <v>1</v>
      </c>
      <c r="G552" s="34" t="n">
        <v>611157.036</v>
      </c>
      <c r="H552" s="4" t="s">
        <v>947</v>
      </c>
    </row>
    <row r="553" customFormat="false" ht="15" hidden="false" customHeight="false" outlineLevel="0" collapsed="false">
      <c r="A553" s="4" t="s">
        <v>291</v>
      </c>
      <c r="B553" s="31" t="n">
        <v>1001506</v>
      </c>
      <c r="C553" s="4" t="s">
        <v>1040</v>
      </c>
      <c r="D553" s="4" t="s">
        <v>772</v>
      </c>
      <c r="E553" s="4" t="s">
        <v>281</v>
      </c>
      <c r="F553" s="32" t="n">
        <v>1</v>
      </c>
      <c r="G553" s="33"/>
      <c r="H553" s="4" t="s">
        <v>925</v>
      </c>
    </row>
    <row r="554" customFormat="false" ht="15" hidden="false" customHeight="false" outlineLevel="0" collapsed="false">
      <c r="A554" s="4" t="s">
        <v>291</v>
      </c>
      <c r="B554" s="31" t="n">
        <v>1012686</v>
      </c>
      <c r="C554" s="4" t="s">
        <v>1041</v>
      </c>
      <c r="D554" s="4" t="s">
        <v>407</v>
      </c>
      <c r="E554" s="4" t="s">
        <v>85</v>
      </c>
      <c r="F554" s="32" t="n">
        <v>0.51</v>
      </c>
      <c r="G554" s="34" t="n">
        <v>378041.15</v>
      </c>
      <c r="H554" s="4" t="s">
        <v>930</v>
      </c>
    </row>
    <row r="555" customFormat="false" ht="15" hidden="false" customHeight="false" outlineLevel="0" collapsed="false">
      <c r="A555" s="4" t="s">
        <v>291</v>
      </c>
      <c r="B555" s="31" t="n">
        <v>1009471</v>
      </c>
      <c r="C555" s="4" t="s">
        <v>1042</v>
      </c>
      <c r="D555" s="4" t="s">
        <v>596</v>
      </c>
      <c r="E555" s="4" t="s">
        <v>85</v>
      </c>
      <c r="F555" s="32" t="n">
        <v>1</v>
      </c>
      <c r="G555" s="33"/>
      <c r="H555" s="4" t="s">
        <v>1043</v>
      </c>
    </row>
    <row r="556" customFormat="false" ht="15" hidden="false" customHeight="false" outlineLevel="0" collapsed="false">
      <c r="A556" s="4" t="s">
        <v>291</v>
      </c>
      <c r="B556" s="31" t="n">
        <v>1001855</v>
      </c>
      <c r="C556" s="4" t="s">
        <v>1044</v>
      </c>
      <c r="D556" s="4" t="s">
        <v>322</v>
      </c>
      <c r="E556" s="4" t="s">
        <v>85</v>
      </c>
      <c r="F556" s="32" t="n">
        <v>0.5</v>
      </c>
      <c r="G556" s="34" t="n">
        <v>40289.58</v>
      </c>
      <c r="H556" s="4" t="s">
        <v>923</v>
      </c>
    </row>
    <row r="557" customFormat="false" ht="15" hidden="false" customHeight="false" outlineLevel="0" collapsed="false">
      <c r="A557" s="4" t="s">
        <v>291</v>
      </c>
      <c r="B557" s="31" t="n">
        <v>1001031</v>
      </c>
      <c r="C557" s="4" t="s">
        <v>1045</v>
      </c>
      <c r="D557" s="4" t="s">
        <v>772</v>
      </c>
      <c r="E557" s="4" t="s">
        <v>281</v>
      </c>
      <c r="F557" s="32" t="n">
        <v>1</v>
      </c>
      <c r="G557" s="34" t="n">
        <v>19304.452</v>
      </c>
      <c r="H557" s="4" t="s">
        <v>925</v>
      </c>
    </row>
    <row r="558" customFormat="false" ht="15" hidden="false" customHeight="false" outlineLevel="0" collapsed="false">
      <c r="A558" s="4" t="s">
        <v>291</v>
      </c>
      <c r="B558" s="31" t="n">
        <v>1008458</v>
      </c>
      <c r="C558" s="4" t="s">
        <v>1046</v>
      </c>
      <c r="D558" s="4" t="s">
        <v>367</v>
      </c>
      <c r="E558" s="4" t="s">
        <v>85</v>
      </c>
      <c r="F558" s="32" t="n">
        <v>0.5</v>
      </c>
      <c r="G558" s="34" t="n">
        <v>12220.766</v>
      </c>
      <c r="H558" s="4" t="s">
        <v>923</v>
      </c>
    </row>
    <row r="559" customFormat="false" ht="15" hidden="false" customHeight="false" outlineLevel="0" collapsed="false">
      <c r="A559" s="4" t="s">
        <v>291</v>
      </c>
      <c r="B559" s="31" t="n">
        <v>1007423</v>
      </c>
      <c r="C559" s="4" t="s">
        <v>1047</v>
      </c>
      <c r="D559" s="4" t="s">
        <v>367</v>
      </c>
      <c r="E559" s="4" t="s">
        <v>281</v>
      </c>
      <c r="F559" s="32" t="n">
        <v>1</v>
      </c>
      <c r="G559" s="33"/>
      <c r="H559" s="4" t="s">
        <v>925</v>
      </c>
    </row>
    <row r="560" customFormat="false" ht="15" hidden="false" customHeight="false" outlineLevel="0" collapsed="false">
      <c r="A560" s="4" t="s">
        <v>291</v>
      </c>
      <c r="B560" s="31" t="n">
        <v>1000565</v>
      </c>
      <c r="C560" s="4" t="s">
        <v>1048</v>
      </c>
      <c r="D560" s="4" t="s">
        <v>677</v>
      </c>
      <c r="E560" s="4" t="s">
        <v>281</v>
      </c>
      <c r="F560" s="32" t="n">
        <v>1</v>
      </c>
      <c r="G560" s="34" t="n">
        <v>356228.974</v>
      </c>
      <c r="H560" s="4" t="s">
        <v>925</v>
      </c>
    </row>
    <row r="561" customFormat="false" ht="15" hidden="false" customHeight="false" outlineLevel="0" collapsed="false">
      <c r="A561" s="4" t="s">
        <v>291</v>
      </c>
      <c r="B561" s="31" t="n">
        <v>1001147</v>
      </c>
      <c r="C561" s="4" t="s">
        <v>1049</v>
      </c>
      <c r="D561" s="4" t="s">
        <v>772</v>
      </c>
      <c r="E561" s="4" t="s">
        <v>281</v>
      </c>
      <c r="F561" s="32" t="n">
        <v>1</v>
      </c>
      <c r="G561" s="34" t="n">
        <v>170710.344</v>
      </c>
      <c r="H561" s="4" t="s">
        <v>925</v>
      </c>
    </row>
    <row r="562" customFormat="false" ht="15" hidden="false" customHeight="false" outlineLevel="0" collapsed="false">
      <c r="A562" s="4" t="s">
        <v>291</v>
      </c>
      <c r="B562" s="31" t="n">
        <v>1001852</v>
      </c>
      <c r="C562" s="4" t="s">
        <v>1050</v>
      </c>
      <c r="D562" s="4" t="s">
        <v>322</v>
      </c>
      <c r="E562" s="4" t="s">
        <v>85</v>
      </c>
      <c r="F562" s="32" t="n">
        <v>0.5</v>
      </c>
      <c r="G562" s="34" t="n">
        <v>22922.584</v>
      </c>
      <c r="H562" s="4" t="s">
        <v>923</v>
      </c>
    </row>
    <row r="563" customFormat="false" ht="15" hidden="false" customHeight="false" outlineLevel="0" collapsed="false">
      <c r="A563" s="4" t="s">
        <v>291</v>
      </c>
      <c r="B563" s="31" t="n">
        <v>1000172</v>
      </c>
      <c r="C563" s="4" t="s">
        <v>1051</v>
      </c>
      <c r="D563" s="4" t="s">
        <v>311</v>
      </c>
      <c r="E563" s="4" t="s">
        <v>281</v>
      </c>
      <c r="F563" s="32" t="n">
        <v>1</v>
      </c>
      <c r="G563" s="33"/>
      <c r="H563" s="4" t="s">
        <v>928</v>
      </c>
    </row>
    <row r="565" customFormat="false" ht="15" hidden="false" customHeight="false" outlineLevel="0" collapsed="false">
      <c r="A565" s="3" t="s">
        <v>1052</v>
      </c>
      <c r="G565" s="30" t="n">
        <f aca="false">SUM(G2:G563)</f>
        <v>1005057500.44857</v>
      </c>
    </row>
    <row r="566" customFormat="false" ht="15" hidden="false" customHeight="false" outlineLevel="0" collapsed="false">
      <c r="A566" s="2" t="s">
        <v>1053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39.75" hidden="false" customHeight="true" outlineLevel="0" collapsed="false">
      <c r="A1" s="10" t="s">
        <v>39</v>
      </c>
      <c r="B1" s="10" t="s">
        <v>40</v>
      </c>
      <c r="C1" s="10" t="s">
        <v>1054</v>
      </c>
      <c r="D1" s="10" t="s">
        <v>54</v>
      </c>
      <c r="E1" s="10" t="s">
        <v>55</v>
      </c>
      <c r="F1" s="10" t="s">
        <v>1055</v>
      </c>
      <c r="G1" s="10" t="s">
        <v>57</v>
      </c>
      <c r="H1" s="10" t="s">
        <v>1056</v>
      </c>
    </row>
    <row r="2" customFormat="false" ht="15" hidden="false" customHeight="false" outlineLevel="0" collapsed="false">
      <c r="A2" s="4" t="s">
        <v>65</v>
      </c>
      <c r="B2" s="4" t="s">
        <v>66</v>
      </c>
      <c r="C2" s="4" t="s">
        <v>70</v>
      </c>
      <c r="D2" s="4" t="s">
        <v>70</v>
      </c>
      <c r="E2" s="4" t="s">
        <v>72</v>
      </c>
      <c r="F2" s="35" t="n">
        <v>0.27</v>
      </c>
      <c r="G2" s="35" t="n">
        <v>0.248</v>
      </c>
      <c r="H2" s="36" t="n">
        <f aca="false">IFERROR(F2-G2,"")</f>
        <v>0.022</v>
      </c>
    </row>
    <row r="3" customFormat="false" ht="15" hidden="false" customHeight="false" outlineLevel="0" collapsed="false">
      <c r="A3" s="4" t="s">
        <v>74</v>
      </c>
      <c r="B3" s="4" t="s">
        <v>75</v>
      </c>
      <c r="C3" s="4" t="s">
        <v>70</v>
      </c>
      <c r="D3" s="4" t="s">
        <v>70</v>
      </c>
      <c r="E3" s="4" t="s">
        <v>72</v>
      </c>
      <c r="F3" s="35" t="n">
        <v>0.27</v>
      </c>
      <c r="G3" s="35" t="n">
        <v>0.248</v>
      </c>
      <c r="H3" s="36" t="n">
        <f aca="false">IFERROR(F3-G3,"")</f>
        <v>0.022</v>
      </c>
    </row>
    <row r="4" customFormat="false" ht="15" hidden="false" customHeight="false" outlineLevel="0" collapsed="false">
      <c r="A4" s="4" t="s">
        <v>81</v>
      </c>
      <c r="B4" s="4" t="s">
        <v>82</v>
      </c>
      <c r="C4" s="4" t="s">
        <v>85</v>
      </c>
      <c r="D4" s="4" t="s">
        <v>85</v>
      </c>
      <c r="E4" s="4" t="s">
        <v>86</v>
      </c>
      <c r="F4" s="35" t="n">
        <v>1.619</v>
      </c>
      <c r="G4" s="35" t="n">
        <v>1.619</v>
      </c>
      <c r="H4" s="36" t="n">
        <f aca="false">IFERROR(F4-G4,"")</f>
        <v>0</v>
      </c>
    </row>
    <row r="5" customFormat="false" ht="15" hidden="false" customHeight="false" outlineLevel="0" collapsed="false">
      <c r="A5" s="4" t="s">
        <v>88</v>
      </c>
      <c r="B5" s="4" t="s">
        <v>89</v>
      </c>
      <c r="C5" s="4" t="s">
        <v>93</v>
      </c>
      <c r="D5" s="4" t="s">
        <v>93</v>
      </c>
      <c r="E5" s="4" t="s">
        <v>95</v>
      </c>
      <c r="F5" s="35" t="n">
        <v>0.787</v>
      </c>
      <c r="G5" s="35" t="n">
        <v>0.769</v>
      </c>
      <c r="H5" s="36" t="n">
        <f aca="false">IFERROR(F5-G5,"")</f>
        <v>0.018</v>
      </c>
    </row>
    <row r="6" customFormat="false" ht="15" hidden="false" customHeight="false" outlineLevel="0" collapsed="false">
      <c r="A6" s="4" t="s">
        <v>97</v>
      </c>
      <c r="B6" s="4" t="s">
        <v>98</v>
      </c>
      <c r="C6" s="4" t="s">
        <v>101</v>
      </c>
      <c r="D6" s="4" t="s">
        <v>101</v>
      </c>
      <c r="E6" s="4" t="s">
        <v>104</v>
      </c>
      <c r="F6" s="35" t="n">
        <v>0.811</v>
      </c>
      <c r="G6" s="35" t="n">
        <v>0.794</v>
      </c>
      <c r="H6" s="36" t="n">
        <f aca="false">IFERROR(F6-G6,"")</f>
        <v>0.017</v>
      </c>
    </row>
    <row r="7" customFormat="false" ht="15" hidden="false" customHeight="false" outlineLevel="0" collapsed="false">
      <c r="A7" s="4" t="s">
        <v>106</v>
      </c>
      <c r="B7" s="4" t="s">
        <v>107</v>
      </c>
      <c r="C7" s="4" t="s">
        <v>110</v>
      </c>
      <c r="D7" s="4" t="s">
        <v>110</v>
      </c>
      <c r="E7" s="4" t="s">
        <v>112</v>
      </c>
      <c r="F7" s="35" t="n">
        <v>0.291</v>
      </c>
      <c r="G7" s="35" t="n">
        <v>0.264</v>
      </c>
      <c r="H7" s="36" t="n">
        <f aca="false">IFERROR(F7-G7,"")</f>
        <v>0.027</v>
      </c>
    </row>
    <row r="8" customFormat="false" ht="15" hidden="false" customHeight="false" outlineLevel="0" collapsed="false">
      <c r="A8" s="4" t="s">
        <v>114</v>
      </c>
      <c r="B8" s="4" t="s">
        <v>115</v>
      </c>
      <c r="C8" s="4" t="s">
        <v>119</v>
      </c>
      <c r="D8" s="4" t="s">
        <v>119</v>
      </c>
      <c r="E8" s="4" t="s">
        <v>121</v>
      </c>
      <c r="F8" s="35" t="n">
        <v>0.466</v>
      </c>
      <c r="G8" s="35" t="n">
        <v>0.466</v>
      </c>
      <c r="H8" s="36" t="n">
        <f aca="false">IFERROR(F8-G8,"")</f>
        <v>0</v>
      </c>
    </row>
    <row r="9" customFormat="false" ht="15" hidden="false" customHeight="false" outlineLevel="0" collapsed="false">
      <c r="A9" s="4" t="s">
        <v>123</v>
      </c>
      <c r="B9" s="4" t="s">
        <v>124</v>
      </c>
      <c r="C9" s="4" t="s">
        <v>127</v>
      </c>
      <c r="D9" s="4" t="s">
        <v>127</v>
      </c>
      <c r="E9" s="4" t="s">
        <v>129</v>
      </c>
      <c r="F9" s="35" t="n">
        <v>0.228</v>
      </c>
      <c r="G9" s="35" t="n">
        <v>0.201</v>
      </c>
      <c r="H9" s="36" t="n">
        <f aca="false">IFERROR(F9-G9,"")</f>
        <v>0.027</v>
      </c>
    </row>
    <row r="10" customFormat="false" ht="15" hidden="false" customHeight="false" outlineLevel="0" collapsed="false">
      <c r="A10" s="4" t="s">
        <v>131</v>
      </c>
      <c r="B10" s="4" t="s">
        <v>132</v>
      </c>
      <c r="C10" s="4" t="s">
        <v>135</v>
      </c>
      <c r="D10" s="4" t="s">
        <v>135</v>
      </c>
      <c r="E10" s="4" t="s">
        <v>137</v>
      </c>
      <c r="F10" s="35" t="n">
        <v>0.22</v>
      </c>
      <c r="G10" s="35" t="n">
        <v>0.191</v>
      </c>
      <c r="H10" s="36" t="n">
        <f aca="false">IFERROR(F10-G10,"")</f>
        <v>0.029</v>
      </c>
    </row>
    <row r="11" customFormat="false" ht="15" hidden="false" customHeight="false" outlineLevel="0" collapsed="false">
      <c r="A11" s="4" t="s">
        <v>138</v>
      </c>
      <c r="B11" s="4" t="s">
        <v>139</v>
      </c>
      <c r="C11" s="4" t="s">
        <v>143</v>
      </c>
      <c r="D11" s="4" t="s">
        <v>143</v>
      </c>
      <c r="E11" s="4" t="s">
        <v>145</v>
      </c>
      <c r="F11" s="35" t="n">
        <v>0.24</v>
      </c>
      <c r="G11" s="35" t="n">
        <v>0.19</v>
      </c>
      <c r="H11" s="36" t="n">
        <f aca="false">IFERROR(F11-G11,"")</f>
        <v>0.05</v>
      </c>
    </row>
    <row r="12" customFormat="false" ht="15" hidden="false" customHeight="false" outlineLevel="0" collapsed="false">
      <c r="A12" s="4" t="s">
        <v>147</v>
      </c>
      <c r="B12" s="4" t="s">
        <v>148</v>
      </c>
      <c r="C12" s="4" t="s">
        <v>143</v>
      </c>
      <c r="D12" s="4" t="s">
        <v>143</v>
      </c>
      <c r="E12" s="4" t="s">
        <v>145</v>
      </c>
      <c r="F12" s="35" t="n">
        <v>0.24</v>
      </c>
      <c r="G12" s="35" t="n">
        <v>0.19</v>
      </c>
      <c r="H12" s="36" t="n">
        <f aca="false">IFERROR(F12-G12,"")</f>
        <v>0.05</v>
      </c>
    </row>
    <row r="13" customFormat="false" ht="15" hidden="false" customHeight="false" outlineLevel="0" collapsed="false">
      <c r="A13" s="4" t="s">
        <v>153</v>
      </c>
      <c r="B13" s="4" t="s">
        <v>154</v>
      </c>
      <c r="C13" s="4" t="s">
        <v>157</v>
      </c>
      <c r="D13" s="4" t="s">
        <v>157</v>
      </c>
      <c r="E13" s="4" t="s">
        <v>159</v>
      </c>
      <c r="F13" s="35" t="n">
        <v>0.094</v>
      </c>
      <c r="G13" s="35" t="n">
        <v>0.094</v>
      </c>
      <c r="H13" s="36" t="n">
        <f aca="false">IFERROR(F13-G13,"")</f>
        <v>0</v>
      </c>
    </row>
    <row r="14" customFormat="false" ht="15" hidden="false" customHeight="false" outlineLevel="0" collapsed="false">
      <c r="A14" s="4" t="s">
        <v>161</v>
      </c>
      <c r="B14" s="4" t="s">
        <v>162</v>
      </c>
      <c r="C14" s="4" t="s">
        <v>166</v>
      </c>
      <c r="D14" s="4" t="s">
        <v>166</v>
      </c>
      <c r="E14" s="4" t="s">
        <v>168</v>
      </c>
      <c r="F14" s="35" t="n">
        <v>0.164</v>
      </c>
      <c r="G14" s="35" t="n">
        <v>0.164</v>
      </c>
      <c r="H14" s="36" t="n">
        <f aca="false">IFERROR(F14-G14,"")</f>
        <v>0</v>
      </c>
    </row>
    <row r="15" customFormat="false" ht="15" hidden="false" customHeight="false" outlineLevel="0" collapsed="false">
      <c r="A15" s="37" t="s">
        <v>170</v>
      </c>
      <c r="B15" s="37" t="s">
        <v>171</v>
      </c>
      <c r="C15" s="37" t="s">
        <v>174</v>
      </c>
      <c r="D15" s="37"/>
      <c r="E15" s="37" t="s">
        <v>1057</v>
      </c>
      <c r="F15" s="38"/>
      <c r="G15" s="38"/>
      <c r="H15" s="39" t="n">
        <f aca="false">IFERROR(F15-G15,"")</f>
        <v>0</v>
      </c>
    </row>
    <row r="16" customFormat="false" ht="15" hidden="false" customHeight="false" outlineLevel="0" collapsed="false">
      <c r="A16" s="4" t="s">
        <v>177</v>
      </c>
      <c r="B16" s="4" t="s">
        <v>178</v>
      </c>
      <c r="C16" s="4" t="s">
        <v>181</v>
      </c>
      <c r="D16" s="4" t="s">
        <v>181</v>
      </c>
      <c r="E16" s="4" t="s">
        <v>183</v>
      </c>
      <c r="F16" s="35" t="n">
        <v>0.214</v>
      </c>
      <c r="G16" s="35" t="n">
        <v>0.173</v>
      </c>
      <c r="H16" s="36" t="n">
        <f aca="false">IFERROR(F16-G16,"")</f>
        <v>0.041</v>
      </c>
    </row>
    <row r="17" customFormat="false" ht="15" hidden="false" customHeight="false" outlineLevel="0" collapsed="false">
      <c r="A17" s="4" t="s">
        <v>185</v>
      </c>
      <c r="B17" s="4" t="s">
        <v>186</v>
      </c>
      <c r="C17" s="4" t="s">
        <v>190</v>
      </c>
      <c r="D17" s="4" t="s">
        <v>190</v>
      </c>
      <c r="E17" s="4" t="s">
        <v>192</v>
      </c>
      <c r="F17" s="35" t="n">
        <v>0.099</v>
      </c>
      <c r="G17" s="35" t="n">
        <v>0.045</v>
      </c>
      <c r="H17" s="36" t="n">
        <f aca="false">IFERROR(F17-G17,"")</f>
        <v>0.054</v>
      </c>
    </row>
    <row r="18" customFormat="false" ht="15" hidden="false" customHeight="false" outlineLevel="0" collapsed="false">
      <c r="A18" s="4" t="s">
        <v>194</v>
      </c>
      <c r="B18" s="4" t="s">
        <v>195</v>
      </c>
      <c r="C18" s="4" t="s">
        <v>198</v>
      </c>
      <c r="D18" s="4" t="s">
        <v>198</v>
      </c>
      <c r="E18" s="4" t="s">
        <v>200</v>
      </c>
      <c r="F18" s="35" t="n">
        <v>0.033</v>
      </c>
      <c r="G18" s="35" t="n">
        <v>0.033</v>
      </c>
      <c r="H18" s="36" t="n">
        <f aca="false">IFERROR(F18-G18,"")</f>
        <v>0</v>
      </c>
    </row>
    <row r="19" customFormat="false" ht="15" hidden="false" customHeight="false" outlineLevel="0" collapsed="false">
      <c r="A19" s="4" t="s">
        <v>202</v>
      </c>
      <c r="B19" s="4" t="s">
        <v>203</v>
      </c>
      <c r="C19" s="4" t="s">
        <v>190</v>
      </c>
      <c r="D19" s="4" t="s">
        <v>190</v>
      </c>
      <c r="E19" s="4" t="s">
        <v>192</v>
      </c>
      <c r="F19" s="35" t="n">
        <v>0.099</v>
      </c>
      <c r="G19" s="35" t="n">
        <v>0.045</v>
      </c>
      <c r="H19" s="36" t="n">
        <f aca="false">IFERROR(F19-G19,"")</f>
        <v>0.054</v>
      </c>
    </row>
    <row r="20" customFormat="false" ht="15" hidden="false" customHeight="false" outlineLevel="0" collapsed="false">
      <c r="A20" s="4" t="s">
        <v>208</v>
      </c>
      <c r="B20" s="4" t="s">
        <v>209</v>
      </c>
      <c r="C20" s="4" t="s">
        <v>213</v>
      </c>
      <c r="D20" s="4" t="s">
        <v>213</v>
      </c>
      <c r="E20" s="4" t="s">
        <v>215</v>
      </c>
      <c r="F20" s="35" t="n">
        <v>0.059</v>
      </c>
      <c r="G20" s="35" t="n">
        <v>0.059</v>
      </c>
      <c r="H20" s="36" t="n">
        <f aca="false">IFERROR(F20-G20,"")</f>
        <v>0</v>
      </c>
    </row>
    <row r="21" customFormat="false" ht="15" hidden="false" customHeight="false" outlineLevel="0" collapsed="false">
      <c r="A21" s="4" t="s">
        <v>217</v>
      </c>
      <c r="B21" s="4" t="s">
        <v>218</v>
      </c>
      <c r="C21" s="4" t="s">
        <v>213</v>
      </c>
      <c r="D21" s="4" t="s">
        <v>213</v>
      </c>
      <c r="E21" s="4" t="s">
        <v>215</v>
      </c>
      <c r="F21" s="35" t="n">
        <v>0.059</v>
      </c>
      <c r="G21" s="35" t="n">
        <v>0.059</v>
      </c>
      <c r="H21" s="36" t="n">
        <f aca="false">IFERROR(F21-G21,"")</f>
        <v>0</v>
      </c>
    </row>
    <row r="22" customFormat="false" ht="15" hidden="false" customHeight="false" outlineLevel="0" collapsed="false">
      <c r="A22" s="4" t="s">
        <v>223</v>
      </c>
      <c r="B22" s="4" t="s">
        <v>224</v>
      </c>
      <c r="C22" s="4" t="s">
        <v>227</v>
      </c>
      <c r="D22" s="4" t="s">
        <v>227</v>
      </c>
      <c r="E22" s="4" t="s">
        <v>230</v>
      </c>
      <c r="F22" s="35" t="n">
        <v>0.043</v>
      </c>
      <c r="G22" s="35" t="n">
        <v>0.043</v>
      </c>
      <c r="H22" s="36" t="n">
        <f aca="false">IFERROR(F22-G22,"")</f>
        <v>0</v>
      </c>
    </row>
    <row r="23" customFormat="false" ht="15" hidden="false" customHeight="false" outlineLevel="0" collapsed="false">
      <c r="A23" s="4" t="s">
        <v>232</v>
      </c>
      <c r="B23" s="4" t="s">
        <v>233</v>
      </c>
      <c r="C23" s="4" t="s">
        <v>237</v>
      </c>
      <c r="D23" s="4" t="s">
        <v>237</v>
      </c>
      <c r="E23" s="4" t="s">
        <v>239</v>
      </c>
      <c r="F23" s="35" t="n">
        <v>0.111</v>
      </c>
      <c r="G23" s="35" t="n">
        <v>0.065</v>
      </c>
      <c r="H23" s="36" t="n">
        <f aca="false">IFERROR(F23-G23,"")</f>
        <v>0.046</v>
      </c>
    </row>
    <row r="24" customFormat="false" ht="15" hidden="false" customHeight="false" outlineLevel="0" collapsed="false">
      <c r="A24" s="37" t="s">
        <v>241</v>
      </c>
      <c r="B24" s="37" t="s">
        <v>242</v>
      </c>
      <c r="C24" s="37" t="s">
        <v>245</v>
      </c>
      <c r="D24" s="37"/>
      <c r="E24" s="37" t="s">
        <v>1057</v>
      </c>
      <c r="F24" s="38"/>
      <c r="G24" s="38"/>
      <c r="H24" s="39" t="n">
        <f aca="false">IFERROR(F24-G24,"")</f>
        <v>0</v>
      </c>
    </row>
    <row r="25" customFormat="false" ht="15" hidden="false" customHeight="false" outlineLevel="0" collapsed="false">
      <c r="A25" s="4" t="s">
        <v>248</v>
      </c>
      <c r="B25" s="4" t="s">
        <v>249</v>
      </c>
      <c r="C25" s="4" t="s">
        <v>252</v>
      </c>
      <c r="D25" s="4" t="s">
        <v>252</v>
      </c>
      <c r="E25" s="4" t="s">
        <v>253</v>
      </c>
      <c r="F25" s="35" t="n">
        <v>0.215</v>
      </c>
      <c r="G25" s="35" t="n">
        <v>0.188</v>
      </c>
      <c r="H25" s="36" t="n">
        <f aca="false">IFERROR(F25-G25,"")</f>
        <v>0.027</v>
      </c>
    </row>
    <row r="26" customFormat="false" ht="15" hidden="false" customHeight="false" outlineLevel="0" collapsed="false">
      <c r="A26" s="37" t="s">
        <v>255</v>
      </c>
      <c r="B26" s="37" t="s">
        <v>256</v>
      </c>
      <c r="C26" s="37" t="s">
        <v>260</v>
      </c>
      <c r="D26" s="37"/>
      <c r="E26" s="37" t="s">
        <v>1057</v>
      </c>
      <c r="F26" s="38"/>
      <c r="G26" s="38"/>
      <c r="H26" s="39" t="n">
        <f aca="false">IFERROR(F26-G26,"")</f>
        <v>0</v>
      </c>
    </row>
    <row r="27" customFormat="false" ht="15" hidden="false" customHeight="false" outlineLevel="0" collapsed="false">
      <c r="A27" s="37" t="s">
        <v>263</v>
      </c>
      <c r="B27" s="37" t="s">
        <v>264</v>
      </c>
      <c r="C27" s="37" t="s">
        <v>260</v>
      </c>
      <c r="D27" s="37"/>
      <c r="E27" s="37" t="s">
        <v>1057</v>
      </c>
      <c r="F27" s="38"/>
      <c r="G27" s="38"/>
      <c r="H27" s="39" t="n">
        <f aca="false">IFERROR(F27-G27,"")</f>
        <v>0</v>
      </c>
    </row>
    <row r="28" customFormat="false" ht="15" hidden="false" customHeight="false" outlineLevel="0" collapsed="false">
      <c r="A28" s="4" t="s">
        <v>268</v>
      </c>
      <c r="B28" s="4" t="s">
        <v>269</v>
      </c>
      <c r="C28" s="4" t="s">
        <v>272</v>
      </c>
      <c r="D28" s="4" t="s">
        <v>272</v>
      </c>
      <c r="E28" s="4" t="s">
        <v>274</v>
      </c>
      <c r="F28" s="35" t="n">
        <v>0.052</v>
      </c>
      <c r="G28" s="35" t="n">
        <v>0.047</v>
      </c>
      <c r="H28" s="36" t="n">
        <f aca="false">IFERROR(F28-G28,"")</f>
        <v>0.005</v>
      </c>
    </row>
    <row r="29" customFormat="false" ht="15" hidden="false" customHeight="false" outlineLevel="0" collapsed="false">
      <c r="A29" s="37" t="s">
        <v>276</v>
      </c>
      <c r="B29" s="37" t="s">
        <v>277</v>
      </c>
      <c r="C29" s="37" t="s">
        <v>281</v>
      </c>
      <c r="D29" s="37"/>
      <c r="E29" s="37" t="s">
        <v>1057</v>
      </c>
      <c r="F29" s="38"/>
      <c r="G29" s="38"/>
      <c r="H29" s="39" t="n">
        <f aca="false">IFERROR(F29-G29,"")</f>
        <v>0</v>
      </c>
    </row>
    <row r="30" customFormat="false" ht="15" hidden="false" customHeight="false" outlineLevel="0" collapsed="false">
      <c r="A30" s="37" t="s">
        <v>285</v>
      </c>
      <c r="B30" s="37" t="s">
        <v>286</v>
      </c>
      <c r="C30" s="37" t="s">
        <v>281</v>
      </c>
      <c r="D30" s="37"/>
      <c r="E30" s="37" t="s">
        <v>1057</v>
      </c>
      <c r="F30" s="38"/>
      <c r="G30" s="38"/>
      <c r="H30" s="39" t="n">
        <f aca="false">IFERROR(F30-G30,"")</f>
        <v>0</v>
      </c>
    </row>
    <row r="31" customFormat="false" ht="15" hidden="false" customHeight="false" outlineLevel="0" collapsed="false">
      <c r="A31" s="37" t="s">
        <v>291</v>
      </c>
      <c r="B31" s="37" t="s">
        <v>292</v>
      </c>
      <c r="C31" s="37" t="s">
        <v>281</v>
      </c>
      <c r="D31" s="37"/>
      <c r="E31" s="37" t="s">
        <v>1057</v>
      </c>
      <c r="F31" s="38"/>
      <c r="G31" s="38"/>
      <c r="H31" s="39" t="n">
        <f aca="false">IFERROR(F31-G31,"")</f>
        <v>0</v>
      </c>
    </row>
    <row r="34" customFormat="false" ht="15" hidden="false" customHeight="false" outlineLevel="0" collapsed="false">
      <c r="A34" s="2" t="s">
        <v>1058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1059</v>
      </c>
    </row>
    <row r="2" customFormat="false" ht="15" hidden="false" customHeight="false" outlineLevel="0" collapsed="false">
      <c r="A2" s="2" t="s">
        <v>1060</v>
      </c>
    </row>
    <row r="4" customFormat="false" ht="31.5" hidden="false" customHeight="true" outlineLevel="0" collapsed="false">
      <c r="A4" s="10" t="s">
        <v>39</v>
      </c>
      <c r="B4" s="10" t="s">
        <v>40</v>
      </c>
      <c r="C4" s="10" t="s">
        <v>1061</v>
      </c>
      <c r="D4" s="10" t="s">
        <v>1062</v>
      </c>
      <c r="E4" s="10" t="s">
        <v>1063</v>
      </c>
    </row>
    <row r="5" customFormat="false" ht="23.85" hidden="false" customHeight="false" outlineLevel="0" collapsed="false">
      <c r="A5" s="40" t="s">
        <v>65</v>
      </c>
      <c r="B5" s="40" t="s">
        <v>66</v>
      </c>
      <c r="C5" s="40" t="s">
        <v>1064</v>
      </c>
      <c r="D5" s="40" t="s">
        <v>1065</v>
      </c>
      <c r="E5" s="40" t="s">
        <v>1066</v>
      </c>
    </row>
    <row r="6" customFormat="false" ht="23.85" hidden="false" customHeight="false" outlineLevel="0" collapsed="false">
      <c r="A6" s="40" t="s">
        <v>97</v>
      </c>
      <c r="B6" s="40" t="s">
        <v>98</v>
      </c>
      <c r="C6" s="40" t="s">
        <v>1067</v>
      </c>
      <c r="D6" s="40" t="s">
        <v>1068</v>
      </c>
      <c r="E6" s="40" t="s">
        <v>1069</v>
      </c>
    </row>
    <row r="7" customFormat="false" ht="23.85" hidden="false" customHeight="false" outlineLevel="0" collapsed="false">
      <c r="A7" s="40" t="s">
        <v>106</v>
      </c>
      <c r="B7" s="40" t="s">
        <v>107</v>
      </c>
      <c r="C7" s="40" t="s">
        <v>1067</v>
      </c>
      <c r="D7" s="40" t="s">
        <v>1070</v>
      </c>
      <c r="E7" s="40" t="s">
        <v>1069</v>
      </c>
    </row>
    <row r="8" customFormat="false" ht="23.85" hidden="false" customHeight="false" outlineLevel="0" collapsed="false">
      <c r="A8" s="40" t="s">
        <v>114</v>
      </c>
      <c r="B8" s="40" t="s">
        <v>115</v>
      </c>
      <c r="C8" s="40" t="s">
        <v>1067</v>
      </c>
      <c r="D8" s="40" t="s">
        <v>1071</v>
      </c>
      <c r="E8" s="40" t="s">
        <v>1069</v>
      </c>
    </row>
    <row r="9" customFormat="false" ht="23.85" hidden="false" customHeight="false" outlineLevel="0" collapsed="false">
      <c r="A9" s="40" t="s">
        <v>153</v>
      </c>
      <c r="B9" s="40" t="s">
        <v>154</v>
      </c>
      <c r="C9" s="40" t="s">
        <v>1067</v>
      </c>
      <c r="D9" s="40" t="s">
        <v>1072</v>
      </c>
      <c r="E9" s="40" t="s">
        <v>1069</v>
      </c>
    </row>
    <row r="10" customFormat="false" ht="23.85" hidden="false" customHeight="false" outlineLevel="0" collapsed="false">
      <c r="A10" s="40" t="s">
        <v>161</v>
      </c>
      <c r="B10" s="40" t="s">
        <v>162</v>
      </c>
      <c r="C10" s="40" t="s">
        <v>1067</v>
      </c>
      <c r="D10" s="40" t="s">
        <v>1073</v>
      </c>
      <c r="E10" s="40" t="s">
        <v>1069</v>
      </c>
    </row>
    <row r="11" customFormat="false" ht="23.85" hidden="false" customHeight="false" outlineLevel="0" collapsed="false">
      <c r="A11" s="40" t="s">
        <v>170</v>
      </c>
      <c r="B11" s="40" t="s">
        <v>171</v>
      </c>
      <c r="C11" s="40" t="s">
        <v>1074</v>
      </c>
      <c r="D11" s="40" t="s">
        <v>1075</v>
      </c>
      <c r="E11" s="40" t="s">
        <v>1076</v>
      </c>
    </row>
    <row r="12" customFormat="false" ht="23.85" hidden="false" customHeight="false" outlineLevel="0" collapsed="false">
      <c r="A12" s="40" t="s">
        <v>177</v>
      </c>
      <c r="B12" s="40" t="s">
        <v>178</v>
      </c>
      <c r="C12" s="40" t="s">
        <v>1067</v>
      </c>
      <c r="D12" s="40" t="s">
        <v>1077</v>
      </c>
      <c r="E12" s="40" t="s">
        <v>1069</v>
      </c>
    </row>
    <row r="13" customFormat="false" ht="23.85" hidden="false" customHeight="false" outlineLevel="0" collapsed="false">
      <c r="A13" s="40" t="s">
        <v>194</v>
      </c>
      <c r="B13" s="40" t="s">
        <v>195</v>
      </c>
      <c r="C13" s="40" t="s">
        <v>1067</v>
      </c>
      <c r="D13" s="40" t="s">
        <v>1078</v>
      </c>
      <c r="E13" s="40" t="s">
        <v>1069</v>
      </c>
    </row>
    <row r="14" customFormat="false" ht="23.85" hidden="false" customHeight="false" outlineLevel="0" collapsed="false">
      <c r="A14" s="40" t="s">
        <v>208</v>
      </c>
      <c r="B14" s="40" t="s">
        <v>209</v>
      </c>
      <c r="C14" s="40" t="s">
        <v>1067</v>
      </c>
      <c r="D14" s="40" t="s">
        <v>1079</v>
      </c>
      <c r="E14" s="40" t="s">
        <v>1069</v>
      </c>
    </row>
    <row r="15" customFormat="false" ht="23.85" hidden="false" customHeight="false" outlineLevel="0" collapsed="false">
      <c r="A15" s="40" t="s">
        <v>217</v>
      </c>
      <c r="B15" s="40" t="s">
        <v>218</v>
      </c>
      <c r="C15" s="40" t="s">
        <v>1067</v>
      </c>
      <c r="D15" s="40" t="s">
        <v>1080</v>
      </c>
      <c r="E15" s="40" t="s">
        <v>1069</v>
      </c>
    </row>
    <row r="16" customFormat="false" ht="23.85" hidden="false" customHeight="false" outlineLevel="0" collapsed="false">
      <c r="A16" s="40" t="s">
        <v>241</v>
      </c>
      <c r="B16" s="40" t="s">
        <v>242</v>
      </c>
      <c r="C16" s="40" t="s">
        <v>1067</v>
      </c>
      <c r="D16" s="40" t="s">
        <v>1081</v>
      </c>
      <c r="E16" s="40" t="s">
        <v>1069</v>
      </c>
    </row>
    <row r="17" customFormat="false" ht="23.85" hidden="false" customHeight="false" outlineLevel="0" collapsed="false">
      <c r="A17" s="40" t="s">
        <v>241</v>
      </c>
      <c r="B17" s="40" t="s">
        <v>242</v>
      </c>
      <c r="C17" s="40" t="s">
        <v>1074</v>
      </c>
      <c r="D17" s="40" t="s">
        <v>1082</v>
      </c>
      <c r="E17" s="40" t="s">
        <v>1076</v>
      </c>
    </row>
    <row r="18" customFormat="false" ht="23.85" hidden="false" customHeight="false" outlineLevel="0" collapsed="false">
      <c r="A18" s="40" t="s">
        <v>248</v>
      </c>
      <c r="B18" s="40" t="s">
        <v>249</v>
      </c>
      <c r="C18" s="40" t="s">
        <v>1067</v>
      </c>
      <c r="D18" s="40" t="s">
        <v>1083</v>
      </c>
      <c r="E18" s="40" t="s">
        <v>1069</v>
      </c>
    </row>
    <row r="19" customFormat="false" ht="23.85" hidden="false" customHeight="false" outlineLevel="0" collapsed="false">
      <c r="A19" s="40" t="s">
        <v>255</v>
      </c>
      <c r="B19" s="40" t="s">
        <v>256</v>
      </c>
      <c r="C19" s="40" t="s">
        <v>1067</v>
      </c>
      <c r="D19" s="40" t="s">
        <v>1084</v>
      </c>
      <c r="E19" s="40" t="s">
        <v>1069</v>
      </c>
    </row>
    <row r="20" customFormat="false" ht="23.85" hidden="false" customHeight="false" outlineLevel="0" collapsed="false">
      <c r="A20" s="40" t="s">
        <v>255</v>
      </c>
      <c r="B20" s="40" t="s">
        <v>256</v>
      </c>
      <c r="C20" s="40" t="s">
        <v>1074</v>
      </c>
      <c r="D20" s="40" t="s">
        <v>1085</v>
      </c>
      <c r="E20" s="40" t="s">
        <v>1076</v>
      </c>
    </row>
    <row r="21" customFormat="false" ht="23.85" hidden="false" customHeight="false" outlineLevel="0" collapsed="false">
      <c r="A21" s="40" t="s">
        <v>263</v>
      </c>
      <c r="B21" s="40" t="s">
        <v>264</v>
      </c>
      <c r="C21" s="40" t="s">
        <v>1074</v>
      </c>
      <c r="D21" s="40" t="s">
        <v>1085</v>
      </c>
      <c r="E21" s="40" t="s">
        <v>1076</v>
      </c>
    </row>
    <row r="22" customFormat="false" ht="23.85" hidden="false" customHeight="false" outlineLevel="0" collapsed="false">
      <c r="A22" s="40" t="s">
        <v>276</v>
      </c>
      <c r="B22" s="40" t="s">
        <v>277</v>
      </c>
      <c r="C22" s="40" t="s">
        <v>1074</v>
      </c>
      <c r="D22" s="40" t="s">
        <v>1086</v>
      </c>
      <c r="E22" s="40" t="s">
        <v>1076</v>
      </c>
    </row>
    <row r="23" customFormat="false" ht="23.85" hidden="false" customHeight="false" outlineLevel="0" collapsed="false">
      <c r="A23" s="40" t="s">
        <v>285</v>
      </c>
      <c r="B23" s="40" t="s">
        <v>286</v>
      </c>
      <c r="C23" s="40" t="s">
        <v>1074</v>
      </c>
      <c r="D23" s="40" t="s">
        <v>1086</v>
      </c>
      <c r="E23" s="40" t="s">
        <v>1076</v>
      </c>
    </row>
    <row r="24" customFormat="false" ht="23.85" hidden="false" customHeight="false" outlineLevel="0" collapsed="false">
      <c r="A24" s="40" t="s">
        <v>291</v>
      </c>
      <c r="B24" s="40" t="s">
        <v>292</v>
      </c>
      <c r="C24" s="40" t="s">
        <v>1074</v>
      </c>
      <c r="D24" s="40" t="s">
        <v>1086</v>
      </c>
      <c r="E24" s="40" t="s">
        <v>1076</v>
      </c>
    </row>
    <row r="27" customFormat="false" ht="15" hidden="false" customHeight="false" outlineLevel="0" collapsed="false">
      <c r="A27" s="3" t="s">
        <v>1087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82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1088</v>
      </c>
    </row>
    <row r="2" customFormat="false" ht="15" hidden="false" customHeight="false" outlineLevel="0" collapsed="false">
      <c r="A2" s="2" t="s">
        <v>1089</v>
      </c>
    </row>
    <row r="4" customFormat="false" ht="15" hidden="false" customHeight="false" outlineLevel="0" collapsed="false">
      <c r="A4" s="41" t="s">
        <v>1090</v>
      </c>
      <c r="B4" s="41" t="s">
        <v>1091</v>
      </c>
      <c r="C4" s="41" t="s">
        <v>1092</v>
      </c>
      <c r="D4" s="41" t="s">
        <v>1093</v>
      </c>
    </row>
    <row r="5" customFormat="false" ht="15" hidden="false" customHeight="false" outlineLevel="0" collapsed="false">
      <c r="A5" s="40" t="s">
        <v>42</v>
      </c>
      <c r="B5" s="40" t="s">
        <v>1094</v>
      </c>
      <c r="C5" s="40" t="s">
        <v>1095</v>
      </c>
      <c r="D5" s="40" t="s">
        <v>1096</v>
      </c>
    </row>
    <row r="6" customFormat="false" ht="46.25" hidden="false" customHeight="false" outlineLevel="0" collapsed="false">
      <c r="A6" s="40" t="s">
        <v>1097</v>
      </c>
      <c r="B6" s="40" t="s">
        <v>1098</v>
      </c>
      <c r="C6" s="40" t="s">
        <v>1099</v>
      </c>
      <c r="D6" s="40" t="s">
        <v>1100</v>
      </c>
    </row>
    <row r="7" customFormat="false" ht="23.85" hidden="false" customHeight="false" outlineLevel="0" collapsed="false">
      <c r="A7" s="40" t="s">
        <v>1101</v>
      </c>
      <c r="B7" s="40" t="s">
        <v>1102</v>
      </c>
      <c r="C7" s="40" t="s">
        <v>1103</v>
      </c>
      <c r="D7" s="40" t="s">
        <v>1104</v>
      </c>
    </row>
    <row r="8" customFormat="false" ht="23.85" hidden="false" customHeight="false" outlineLevel="0" collapsed="false">
      <c r="A8" s="40" t="s">
        <v>1105</v>
      </c>
      <c r="B8" s="40" t="s">
        <v>1102</v>
      </c>
      <c r="C8" s="40" t="s">
        <v>1106</v>
      </c>
      <c r="D8" s="40" t="s">
        <v>1107</v>
      </c>
    </row>
    <row r="9" customFormat="false" ht="23.85" hidden="false" customHeight="false" outlineLevel="0" collapsed="false">
      <c r="A9" s="40" t="s">
        <v>1108</v>
      </c>
      <c r="B9" s="40" t="s">
        <v>1102</v>
      </c>
      <c r="C9" s="40" t="s">
        <v>1109</v>
      </c>
      <c r="D9" s="40" t="s">
        <v>1110</v>
      </c>
    </row>
    <row r="10" customFormat="false" ht="23.85" hidden="false" customHeight="false" outlineLevel="0" collapsed="false">
      <c r="A10" s="40" t="s">
        <v>1111</v>
      </c>
      <c r="B10" s="40" t="s">
        <v>1112</v>
      </c>
      <c r="C10" s="40" t="s">
        <v>1113</v>
      </c>
      <c r="D10" s="40" t="s">
        <v>1114</v>
      </c>
    </row>
    <row r="11" customFormat="false" ht="15" hidden="false" customHeight="false" outlineLevel="0" collapsed="false">
      <c r="A11" s="40" t="s">
        <v>1115</v>
      </c>
      <c r="B11" s="40" t="s">
        <v>1116</v>
      </c>
      <c r="C11" s="40" t="s">
        <v>1117</v>
      </c>
      <c r="D11" s="40" t="s">
        <v>1118</v>
      </c>
    </row>
    <row r="12" customFormat="false" ht="15" hidden="false" customHeight="false" outlineLevel="0" collapsed="false">
      <c r="A12" s="40" t="s">
        <v>41</v>
      </c>
      <c r="B12" s="40" t="s">
        <v>1119</v>
      </c>
      <c r="C12" s="40" t="s">
        <v>1120</v>
      </c>
      <c r="D12" s="40" t="s">
        <v>1121</v>
      </c>
    </row>
    <row r="13" customFormat="false" ht="23.85" hidden="false" customHeight="false" outlineLevel="0" collapsed="false">
      <c r="A13" s="40" t="s">
        <v>44</v>
      </c>
      <c r="B13" s="40" t="s">
        <v>1119</v>
      </c>
      <c r="C13" s="40" t="s">
        <v>1120</v>
      </c>
      <c r="D13" s="40" t="s">
        <v>1122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2026-09-12T13:19:33Z</dcterms:created>
  <dc:creator>openpyxl</dc:creator>
  <dc:description/>
  <dc:language>en-US</dc:language>
  <cp:lastModifiedBy/>
  <dcterms:modified xsi:type="dcterms:W3CDTF">2026-09-12T13:19:33Z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